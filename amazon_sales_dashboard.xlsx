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oyeor\Downloads\Practice\Excel\Retail - Excel\"/>
    </mc:Choice>
  </mc:AlternateContent>
  <xr:revisionPtr revIDLastSave="0" documentId="13_ncr:1_{E2177789-8E15-4118-8C9C-21415E0EAF26}" xr6:coauthVersionLast="47" xr6:coauthVersionMax="47" xr10:uidLastSave="{00000000-0000-0000-0000-000000000000}"/>
  <bookViews>
    <workbookView xWindow="-60" yWindow="-16320" windowWidth="29040" windowHeight="15720" tabRatio="713" activeTab="1" xr2:uid="{00000000-000D-0000-FFFF-FFFF00000000}"/>
  </bookViews>
  <sheets>
    <sheet name="Raw_Sales_Data " sheetId="14" r:id="rId1"/>
    <sheet name="worksheet" sheetId="1" r:id="rId2"/>
    <sheet name="clean_sales" sheetId="16" r:id="rId3"/>
    <sheet name="Pivot(s)" sheetId="17" r:id="rId4"/>
    <sheet name="dashboard" sheetId="8" r:id="rId5"/>
  </sheets>
  <definedNames>
    <definedName name="_xlnm._FilterDatabase" localSheetId="2" hidden="1">clean_sales!$A$1:$AT$1</definedName>
    <definedName name="_xlnm._FilterDatabase" localSheetId="1" hidden="1">worksheet!$A$1:$AE$1</definedName>
    <definedName name="_xlcn.WorksheetConnection_clean_sales_2A1Z2011" hidden="1">clean_sales!$A$1:$Z$201</definedName>
    <definedName name="Slicer_order_status_clean">#N/A</definedName>
    <definedName name="Slicer_product_category_clean">#N/A</definedName>
    <definedName name="Slicer_region__clean">#N/A</definedName>
    <definedName name="Slicer_year">#N/A</definedName>
  </definedNames>
  <calcPr calcId="191028"/>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clean_sales_2!$A$1:$Z$2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 i="16" l="1"/>
  <c r="E4" i="16"/>
  <c r="E5" i="16"/>
  <c r="E6" i="16"/>
  <c r="E7" i="16"/>
  <c r="E8" i="16"/>
  <c r="E9" i="16"/>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E45" i="16"/>
  <c r="E46" i="16"/>
  <c r="E47" i="16"/>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77" i="16"/>
  <c r="E78" i="16"/>
  <c r="E79" i="16"/>
  <c r="E80" i="16"/>
  <c r="E81" i="16"/>
  <c r="E82" i="16"/>
  <c r="E83" i="16"/>
  <c r="E84" i="16"/>
  <c r="E85" i="16"/>
  <c r="E86" i="16"/>
  <c r="E87" i="16"/>
  <c r="E88" i="16"/>
  <c r="E89" i="16"/>
  <c r="E90" i="16"/>
  <c r="E91" i="16"/>
  <c r="E92" i="16"/>
  <c r="E93" i="16"/>
  <c r="E94" i="16"/>
  <c r="E95" i="16"/>
  <c r="E96" i="16"/>
  <c r="E97" i="16"/>
  <c r="E98" i="16"/>
  <c r="E99" i="16"/>
  <c r="E100" i="16"/>
  <c r="E101" i="16"/>
  <c r="E102" i="16"/>
  <c r="E103" i="16"/>
  <c r="E104" i="16"/>
  <c r="E105" i="16"/>
  <c r="E106" i="16"/>
  <c r="E107" i="16"/>
  <c r="E108" i="16"/>
  <c r="E109" i="16"/>
  <c r="E110" i="16"/>
  <c r="E111" i="16"/>
  <c r="E112" i="16"/>
  <c r="E113" i="16"/>
  <c r="E114" i="16"/>
  <c r="E115" i="16"/>
  <c r="E116" i="16"/>
  <c r="E117" i="16"/>
  <c r="E118" i="16"/>
  <c r="E119" i="16"/>
  <c r="E120" i="16"/>
  <c r="E121" i="16"/>
  <c r="E122" i="16"/>
  <c r="E123" i="16"/>
  <c r="E124" i="16"/>
  <c r="E125" i="16"/>
  <c r="E126" i="16"/>
  <c r="E127" i="16"/>
  <c r="E128" i="16"/>
  <c r="E129" i="16"/>
  <c r="E130" i="16"/>
  <c r="E131" i="16"/>
  <c r="E132" i="16"/>
  <c r="E133" i="16"/>
  <c r="E134" i="16"/>
  <c r="E135" i="16"/>
  <c r="E136" i="16"/>
  <c r="E137" i="16"/>
  <c r="E138" i="16"/>
  <c r="E139" i="16"/>
  <c r="E140" i="16"/>
  <c r="E141" i="16"/>
  <c r="E142" i="16"/>
  <c r="E143" i="16"/>
  <c r="E144" i="16"/>
  <c r="E145" i="16"/>
  <c r="E146" i="16"/>
  <c r="E147" i="16"/>
  <c r="E148" i="16"/>
  <c r="E149" i="16"/>
  <c r="E150" i="16"/>
  <c r="E151" i="16"/>
  <c r="E152" i="16"/>
  <c r="E153" i="16"/>
  <c r="E154" i="16"/>
  <c r="E155" i="16"/>
  <c r="E156" i="16"/>
  <c r="E157" i="16"/>
  <c r="E158" i="16"/>
  <c r="E159" i="16"/>
  <c r="E160" i="16"/>
  <c r="E161" i="16"/>
  <c r="E162" i="16"/>
  <c r="E163" i="16"/>
  <c r="E164" i="16"/>
  <c r="E165" i="16"/>
  <c r="E166" i="16"/>
  <c r="E167" i="16"/>
  <c r="E168" i="16"/>
  <c r="E169" i="16"/>
  <c r="E170" i="16"/>
  <c r="E171" i="16"/>
  <c r="E172" i="16"/>
  <c r="E173" i="16"/>
  <c r="E174" i="16"/>
  <c r="E175" i="16"/>
  <c r="E176" i="16"/>
  <c r="E177" i="16"/>
  <c r="E178" i="16"/>
  <c r="E179" i="16"/>
  <c r="E180" i="16"/>
  <c r="E181" i="16"/>
  <c r="E182" i="16"/>
  <c r="E183" i="16"/>
  <c r="E184" i="16"/>
  <c r="E185" i="16"/>
  <c r="E186" i="16"/>
  <c r="E187" i="16"/>
  <c r="E188" i="16"/>
  <c r="E189" i="16"/>
  <c r="E190" i="16"/>
  <c r="E191" i="16"/>
  <c r="E192" i="16"/>
  <c r="E193" i="16"/>
  <c r="E194" i="16"/>
  <c r="E195" i="16"/>
  <c r="E196" i="16"/>
  <c r="E197" i="16"/>
  <c r="E198" i="16"/>
  <c r="E199" i="16"/>
  <c r="E200" i="16"/>
  <c r="E201" i="16"/>
  <c r="E2" i="16"/>
  <c r="D3" i="16"/>
  <c r="D4" i="16"/>
  <c r="D5" i="16"/>
  <c r="D6" i="16"/>
  <c r="D7" i="16"/>
  <c r="D8"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D45" i="16"/>
  <c r="D46" i="16"/>
  <c r="D47" i="16"/>
  <c r="D48" i="16"/>
  <c r="D49" i="16"/>
  <c r="D50" i="16"/>
  <c r="D51" i="16"/>
  <c r="D52" i="16"/>
  <c r="D53" i="16"/>
  <c r="D54" i="16"/>
  <c r="D55" i="16"/>
  <c r="D56" i="16"/>
  <c r="D57" i="16"/>
  <c r="D58" i="16"/>
  <c r="D59" i="16"/>
  <c r="D60" i="16"/>
  <c r="D61" i="16"/>
  <c r="D62" i="16"/>
  <c r="D63" i="16"/>
  <c r="D64" i="16"/>
  <c r="D65" i="16"/>
  <c r="D66" i="16"/>
  <c r="D67" i="16"/>
  <c r="D68" i="16"/>
  <c r="D69" i="16"/>
  <c r="D70" i="16"/>
  <c r="D71" i="16"/>
  <c r="D72" i="16"/>
  <c r="D73" i="16"/>
  <c r="D74" i="16"/>
  <c r="D75" i="16"/>
  <c r="D76" i="16"/>
  <c r="D77" i="16"/>
  <c r="D78" i="16"/>
  <c r="D79" i="16"/>
  <c r="D80" i="16"/>
  <c r="D81" i="16"/>
  <c r="D82" i="16"/>
  <c r="D83" i="16"/>
  <c r="D84" i="16"/>
  <c r="D85" i="16"/>
  <c r="D86" i="16"/>
  <c r="D87" i="16"/>
  <c r="D88" i="16"/>
  <c r="D89" i="16"/>
  <c r="D90" i="16"/>
  <c r="D91" i="16"/>
  <c r="D92" i="16"/>
  <c r="D93" i="16"/>
  <c r="D94" i="16"/>
  <c r="D95" i="16"/>
  <c r="D96" i="16"/>
  <c r="D97" i="16"/>
  <c r="D98" i="16"/>
  <c r="D99" i="16"/>
  <c r="D100" i="16"/>
  <c r="D101" i="16"/>
  <c r="D102" i="16"/>
  <c r="D103" i="16"/>
  <c r="D104" i="16"/>
  <c r="D105" i="16"/>
  <c r="D106" i="16"/>
  <c r="D107" i="16"/>
  <c r="D108" i="16"/>
  <c r="D109" i="16"/>
  <c r="D110" i="16"/>
  <c r="D111" i="16"/>
  <c r="D112" i="16"/>
  <c r="D113" i="16"/>
  <c r="D114" i="16"/>
  <c r="D115" i="16"/>
  <c r="D116" i="16"/>
  <c r="D117" i="16"/>
  <c r="D118" i="16"/>
  <c r="D119" i="16"/>
  <c r="D120" i="16"/>
  <c r="D121" i="16"/>
  <c r="D122" i="16"/>
  <c r="D123" i="16"/>
  <c r="D124" i="16"/>
  <c r="D125" i="16"/>
  <c r="D126" i="16"/>
  <c r="D127" i="16"/>
  <c r="D128" i="16"/>
  <c r="D129" i="16"/>
  <c r="D130" i="16"/>
  <c r="D131" i="16"/>
  <c r="D132" i="16"/>
  <c r="D133" i="16"/>
  <c r="D134" i="16"/>
  <c r="D135" i="16"/>
  <c r="D136" i="16"/>
  <c r="D137" i="16"/>
  <c r="D138" i="16"/>
  <c r="D139" i="16"/>
  <c r="D140" i="16"/>
  <c r="D141" i="16"/>
  <c r="D142" i="16"/>
  <c r="D143" i="16"/>
  <c r="D144" i="16"/>
  <c r="D145" i="16"/>
  <c r="D146" i="16"/>
  <c r="D147" i="16"/>
  <c r="D148" i="16"/>
  <c r="D149" i="16"/>
  <c r="D150" i="16"/>
  <c r="D151" i="16"/>
  <c r="D152" i="16"/>
  <c r="D153" i="16"/>
  <c r="D154" i="16"/>
  <c r="D155" i="16"/>
  <c r="D156" i="16"/>
  <c r="D157" i="16"/>
  <c r="D158" i="16"/>
  <c r="D159" i="16"/>
  <c r="D160" i="16"/>
  <c r="D161" i="16"/>
  <c r="D162" i="16"/>
  <c r="D163" i="16"/>
  <c r="D164" i="16"/>
  <c r="D165" i="16"/>
  <c r="D166" i="16"/>
  <c r="D167" i="16"/>
  <c r="D168" i="16"/>
  <c r="D169" i="16"/>
  <c r="D170" i="16"/>
  <c r="D171" i="16"/>
  <c r="D172" i="16"/>
  <c r="D173" i="16"/>
  <c r="D174" i="16"/>
  <c r="D175" i="16"/>
  <c r="D176" i="16"/>
  <c r="D177" i="16"/>
  <c r="D178" i="16"/>
  <c r="D179" i="16"/>
  <c r="D180" i="16"/>
  <c r="D181" i="16"/>
  <c r="D182" i="16"/>
  <c r="D183" i="16"/>
  <c r="D184" i="16"/>
  <c r="D185" i="16"/>
  <c r="D186" i="16"/>
  <c r="D187" i="16"/>
  <c r="D188" i="16"/>
  <c r="D189" i="16"/>
  <c r="D190" i="16"/>
  <c r="D191" i="16"/>
  <c r="D192" i="16"/>
  <c r="D193" i="16"/>
  <c r="D194" i="16"/>
  <c r="D195" i="16"/>
  <c r="D196" i="16"/>
  <c r="D197" i="16"/>
  <c r="D198" i="16"/>
  <c r="D199" i="16"/>
  <c r="D200" i="16"/>
  <c r="D201" i="16"/>
  <c r="D2" i="16"/>
  <c r="F3" i="16"/>
  <c r="F4" i="16"/>
  <c r="F5" i="16"/>
  <c r="F6" i="16"/>
  <c r="F7" i="16"/>
  <c r="F8"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F45" i="16"/>
  <c r="F46" i="16"/>
  <c r="F47" i="16"/>
  <c r="F48" i="16"/>
  <c r="F49" i="16"/>
  <c r="F50" i="16"/>
  <c r="F51" i="16"/>
  <c r="F52" i="16"/>
  <c r="F53" i="16"/>
  <c r="F54" i="16"/>
  <c r="F55" i="16"/>
  <c r="F56" i="16"/>
  <c r="F57" i="16"/>
  <c r="F58" i="16"/>
  <c r="F59" i="16"/>
  <c r="F60" i="16"/>
  <c r="F61" i="16"/>
  <c r="F62" i="16"/>
  <c r="F63" i="16"/>
  <c r="F64" i="16"/>
  <c r="F65" i="16"/>
  <c r="F66" i="16"/>
  <c r="F67" i="16"/>
  <c r="F68" i="16"/>
  <c r="F69" i="16"/>
  <c r="F70" i="16"/>
  <c r="F71" i="16"/>
  <c r="F72" i="16"/>
  <c r="F73" i="16"/>
  <c r="F74" i="16"/>
  <c r="F75" i="16"/>
  <c r="F76" i="16"/>
  <c r="F77" i="16"/>
  <c r="F78" i="16"/>
  <c r="F79" i="16"/>
  <c r="F80" i="16"/>
  <c r="F81" i="16"/>
  <c r="F82" i="16"/>
  <c r="F83" i="16"/>
  <c r="F84" i="16"/>
  <c r="F85" i="16"/>
  <c r="F86" i="16"/>
  <c r="F87" i="16"/>
  <c r="F88" i="16"/>
  <c r="F89" i="16"/>
  <c r="F90" i="16"/>
  <c r="F91" i="16"/>
  <c r="F92" i="16"/>
  <c r="F93" i="16"/>
  <c r="F94" i="16"/>
  <c r="F95" i="16"/>
  <c r="F96" i="16"/>
  <c r="F97" i="16"/>
  <c r="F98" i="16"/>
  <c r="F99" i="16"/>
  <c r="F100" i="16"/>
  <c r="F101" i="16"/>
  <c r="F102" i="16"/>
  <c r="F103" i="16"/>
  <c r="F104" i="16"/>
  <c r="F105" i="16"/>
  <c r="F106" i="16"/>
  <c r="F107" i="16"/>
  <c r="F108" i="16"/>
  <c r="F109" i="16"/>
  <c r="F110" i="16"/>
  <c r="F111" i="16"/>
  <c r="F112" i="16"/>
  <c r="F113" i="16"/>
  <c r="F114" i="16"/>
  <c r="F115" i="16"/>
  <c r="F116" i="16"/>
  <c r="F117" i="16"/>
  <c r="F118" i="16"/>
  <c r="F119" i="16"/>
  <c r="F120" i="16"/>
  <c r="F121" i="16"/>
  <c r="F122" i="16"/>
  <c r="F123" i="16"/>
  <c r="F124" i="16"/>
  <c r="F125" i="16"/>
  <c r="F126" i="16"/>
  <c r="F127" i="16"/>
  <c r="F128" i="16"/>
  <c r="F129" i="16"/>
  <c r="F130" i="16"/>
  <c r="F131" i="16"/>
  <c r="F132" i="16"/>
  <c r="F133" i="16"/>
  <c r="F134" i="16"/>
  <c r="F135" i="16"/>
  <c r="F136" i="16"/>
  <c r="F137" i="16"/>
  <c r="F138" i="16"/>
  <c r="F139" i="16"/>
  <c r="F140" i="16"/>
  <c r="F141" i="16"/>
  <c r="F142" i="16"/>
  <c r="F143" i="16"/>
  <c r="F144" i="16"/>
  <c r="F145" i="16"/>
  <c r="F146" i="16"/>
  <c r="F147" i="16"/>
  <c r="F148" i="16"/>
  <c r="F149" i="16"/>
  <c r="F150" i="16"/>
  <c r="F151" i="16"/>
  <c r="F152" i="16"/>
  <c r="F153" i="16"/>
  <c r="F154" i="16"/>
  <c r="F155" i="16"/>
  <c r="F156" i="16"/>
  <c r="F157" i="16"/>
  <c r="F158" i="16"/>
  <c r="F159" i="16"/>
  <c r="F160" i="16"/>
  <c r="F161" i="16"/>
  <c r="F162" i="16"/>
  <c r="F163" i="16"/>
  <c r="F164" i="16"/>
  <c r="F165" i="16"/>
  <c r="F166" i="16"/>
  <c r="F167" i="16"/>
  <c r="F168" i="16"/>
  <c r="F169" i="16"/>
  <c r="F170" i="16"/>
  <c r="F171" i="16"/>
  <c r="F172" i="16"/>
  <c r="F173" i="16"/>
  <c r="F174" i="16"/>
  <c r="F175" i="16"/>
  <c r="F176" i="16"/>
  <c r="F177" i="16"/>
  <c r="F178" i="16"/>
  <c r="F179" i="16"/>
  <c r="F180" i="16"/>
  <c r="F181" i="16"/>
  <c r="F182" i="16"/>
  <c r="F183" i="16"/>
  <c r="F184" i="16"/>
  <c r="F185" i="16"/>
  <c r="F186" i="16"/>
  <c r="F187" i="16"/>
  <c r="F188" i="16"/>
  <c r="F189" i="16"/>
  <c r="F190" i="16"/>
  <c r="F191" i="16"/>
  <c r="F192" i="16"/>
  <c r="F193" i="16"/>
  <c r="F194" i="16"/>
  <c r="F195" i="16"/>
  <c r="F196" i="16"/>
  <c r="F197" i="16"/>
  <c r="F198" i="16"/>
  <c r="F199" i="16"/>
  <c r="F200" i="16"/>
  <c r="F201" i="16"/>
  <c r="F2" i="16"/>
  <c r="C3"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C177" i="16"/>
  <c r="C178" i="16"/>
  <c r="C179" i="16"/>
  <c r="C180" i="16"/>
  <c r="C181" i="16"/>
  <c r="C182" i="16"/>
  <c r="C183" i="16"/>
  <c r="C184" i="16"/>
  <c r="C185" i="16"/>
  <c r="C186" i="16"/>
  <c r="C187" i="16"/>
  <c r="C188" i="16"/>
  <c r="C189" i="16"/>
  <c r="C190" i="16"/>
  <c r="C191" i="16"/>
  <c r="C192" i="16"/>
  <c r="C193" i="16"/>
  <c r="C194" i="16"/>
  <c r="C195" i="16"/>
  <c r="C196" i="16"/>
  <c r="C197" i="16"/>
  <c r="C198" i="16"/>
  <c r="C199" i="16"/>
  <c r="C200" i="16"/>
  <c r="C201" i="16"/>
  <c r="C2" i="16"/>
  <c r="W3" i="16"/>
  <c r="X3" i="16"/>
  <c r="W4" i="16"/>
  <c r="X4" i="16"/>
  <c r="W5" i="16"/>
  <c r="X5" i="16"/>
  <c r="W6" i="16"/>
  <c r="X6" i="16"/>
  <c r="W7" i="16"/>
  <c r="X7" i="16"/>
  <c r="W8" i="16"/>
  <c r="X8" i="16"/>
  <c r="W9" i="16"/>
  <c r="X9" i="16"/>
  <c r="W10" i="16"/>
  <c r="X10" i="16"/>
  <c r="W11" i="16"/>
  <c r="X11" i="16"/>
  <c r="W12" i="16"/>
  <c r="X12" i="16"/>
  <c r="W13" i="16"/>
  <c r="X13" i="16"/>
  <c r="W14" i="16"/>
  <c r="X14" i="16"/>
  <c r="W15" i="16"/>
  <c r="X15" i="16"/>
  <c r="W16" i="16"/>
  <c r="X16" i="16"/>
  <c r="W17" i="16"/>
  <c r="X17" i="16"/>
  <c r="W18" i="16"/>
  <c r="X18" i="16"/>
  <c r="W19" i="16"/>
  <c r="X19" i="16"/>
  <c r="W20" i="16"/>
  <c r="X20" i="16"/>
  <c r="W21" i="16"/>
  <c r="X21" i="16"/>
  <c r="W22" i="16"/>
  <c r="X22" i="16"/>
  <c r="W23" i="16"/>
  <c r="X23" i="16"/>
  <c r="W24" i="16"/>
  <c r="X24" i="16"/>
  <c r="W25" i="16"/>
  <c r="X25" i="16"/>
  <c r="W26" i="16"/>
  <c r="X26" i="16"/>
  <c r="W27" i="16"/>
  <c r="X27" i="16"/>
  <c r="W28" i="16"/>
  <c r="X28" i="16"/>
  <c r="W29" i="16"/>
  <c r="X29" i="16"/>
  <c r="W30" i="16"/>
  <c r="X30" i="16"/>
  <c r="W31" i="16"/>
  <c r="X31" i="16"/>
  <c r="W32" i="16"/>
  <c r="X32" i="16"/>
  <c r="W33" i="16"/>
  <c r="X33" i="16"/>
  <c r="W34" i="16"/>
  <c r="X34" i="16"/>
  <c r="W35" i="16"/>
  <c r="X35" i="16"/>
  <c r="W36" i="16"/>
  <c r="X36" i="16"/>
  <c r="W37" i="16"/>
  <c r="X37" i="16"/>
  <c r="W38" i="16"/>
  <c r="X38" i="16"/>
  <c r="W39" i="16"/>
  <c r="X39" i="16"/>
  <c r="W40" i="16"/>
  <c r="X40" i="16"/>
  <c r="W41" i="16"/>
  <c r="X41" i="16"/>
  <c r="W42" i="16"/>
  <c r="X42" i="16"/>
  <c r="W43" i="16"/>
  <c r="X43" i="16"/>
  <c r="W44" i="16"/>
  <c r="X44" i="16"/>
  <c r="W45" i="16"/>
  <c r="X45" i="16"/>
  <c r="W46" i="16"/>
  <c r="X46" i="16"/>
  <c r="W47" i="16"/>
  <c r="Y47" i="16" s="1"/>
  <c r="Z47" i="16" s="1"/>
  <c r="X47" i="16"/>
  <c r="W48" i="16"/>
  <c r="X48" i="16"/>
  <c r="W49" i="16"/>
  <c r="X49" i="16"/>
  <c r="W50" i="16"/>
  <c r="X50" i="16"/>
  <c r="W51" i="16"/>
  <c r="X51" i="16"/>
  <c r="W52" i="16"/>
  <c r="X52" i="16"/>
  <c r="W53" i="16"/>
  <c r="X53" i="16"/>
  <c r="W54" i="16"/>
  <c r="X54" i="16"/>
  <c r="W55" i="16"/>
  <c r="X55" i="16"/>
  <c r="W56" i="16"/>
  <c r="X56" i="16"/>
  <c r="W57" i="16"/>
  <c r="X57" i="16"/>
  <c r="W58" i="16"/>
  <c r="X58" i="16"/>
  <c r="W59" i="16"/>
  <c r="X59" i="16"/>
  <c r="W60" i="16"/>
  <c r="X60" i="16"/>
  <c r="W61" i="16"/>
  <c r="X61" i="16"/>
  <c r="W62" i="16"/>
  <c r="X62" i="16"/>
  <c r="W63" i="16"/>
  <c r="X63" i="16"/>
  <c r="W64" i="16"/>
  <c r="X64" i="16"/>
  <c r="W65" i="16"/>
  <c r="X65" i="16"/>
  <c r="W66" i="16"/>
  <c r="X66" i="16"/>
  <c r="W67" i="16"/>
  <c r="X67" i="16"/>
  <c r="W68" i="16"/>
  <c r="X68" i="16"/>
  <c r="W69" i="16"/>
  <c r="X69" i="16"/>
  <c r="W70" i="16"/>
  <c r="X70" i="16"/>
  <c r="W71" i="16"/>
  <c r="Y71" i="16" s="1"/>
  <c r="Z71" i="16" s="1"/>
  <c r="X71" i="16"/>
  <c r="W72" i="16"/>
  <c r="X72" i="16"/>
  <c r="W73" i="16"/>
  <c r="X73" i="16"/>
  <c r="W74" i="16"/>
  <c r="X74" i="16"/>
  <c r="W75" i="16"/>
  <c r="Y75" i="16" s="1"/>
  <c r="Z75" i="16" s="1"/>
  <c r="X75" i="16"/>
  <c r="W76" i="16"/>
  <c r="X76" i="16"/>
  <c r="W77" i="16"/>
  <c r="X77" i="16"/>
  <c r="W78" i="16"/>
  <c r="X78" i="16"/>
  <c r="W79" i="16"/>
  <c r="Y79" i="16" s="1"/>
  <c r="Z79" i="16" s="1"/>
  <c r="X79" i="16"/>
  <c r="W80" i="16"/>
  <c r="X80" i="16"/>
  <c r="W81" i="16"/>
  <c r="X81" i="16"/>
  <c r="W82" i="16"/>
  <c r="X82" i="16"/>
  <c r="W83" i="16"/>
  <c r="X83" i="16"/>
  <c r="W84" i="16"/>
  <c r="X84" i="16"/>
  <c r="W85" i="16"/>
  <c r="X85" i="16"/>
  <c r="W86" i="16"/>
  <c r="X86" i="16"/>
  <c r="W87" i="16"/>
  <c r="X87" i="16"/>
  <c r="W88" i="16"/>
  <c r="X88" i="16"/>
  <c r="W89" i="16"/>
  <c r="X89" i="16"/>
  <c r="W90" i="16"/>
  <c r="X90" i="16"/>
  <c r="W91" i="16"/>
  <c r="X91" i="16"/>
  <c r="W92" i="16"/>
  <c r="X92" i="16"/>
  <c r="W93" i="16"/>
  <c r="X93" i="16"/>
  <c r="W94" i="16"/>
  <c r="X94" i="16"/>
  <c r="W95" i="16"/>
  <c r="X95" i="16"/>
  <c r="W96" i="16"/>
  <c r="X96" i="16"/>
  <c r="W97" i="16"/>
  <c r="X97" i="16"/>
  <c r="W98" i="16"/>
  <c r="X98" i="16"/>
  <c r="W99" i="16"/>
  <c r="X99" i="16"/>
  <c r="W100" i="16"/>
  <c r="X100" i="16"/>
  <c r="W101" i="16"/>
  <c r="X101" i="16"/>
  <c r="W102" i="16"/>
  <c r="X102" i="16"/>
  <c r="W103" i="16"/>
  <c r="X103" i="16"/>
  <c r="W104" i="16"/>
  <c r="X104" i="16"/>
  <c r="W105" i="16"/>
  <c r="X105" i="16"/>
  <c r="W106" i="16"/>
  <c r="X106" i="16"/>
  <c r="W107" i="16"/>
  <c r="X107" i="16"/>
  <c r="W108" i="16"/>
  <c r="X108" i="16"/>
  <c r="W109" i="16"/>
  <c r="X109" i="16"/>
  <c r="W110" i="16"/>
  <c r="X110" i="16"/>
  <c r="W111" i="16"/>
  <c r="X111" i="16"/>
  <c r="W112" i="16"/>
  <c r="X112" i="16"/>
  <c r="W113" i="16"/>
  <c r="X113" i="16"/>
  <c r="W114" i="16"/>
  <c r="X114" i="16"/>
  <c r="W115" i="16"/>
  <c r="X115" i="16"/>
  <c r="W116" i="16"/>
  <c r="X116" i="16"/>
  <c r="W117" i="16"/>
  <c r="X117" i="16"/>
  <c r="W118" i="16"/>
  <c r="X118" i="16"/>
  <c r="W119" i="16"/>
  <c r="X119" i="16"/>
  <c r="W120" i="16"/>
  <c r="X120" i="16"/>
  <c r="W121" i="16"/>
  <c r="X121" i="16"/>
  <c r="W122" i="16"/>
  <c r="X122" i="16"/>
  <c r="W123" i="16"/>
  <c r="X123" i="16"/>
  <c r="W124" i="16"/>
  <c r="X124" i="16"/>
  <c r="W125" i="16"/>
  <c r="X125" i="16"/>
  <c r="W126" i="16"/>
  <c r="X126" i="16"/>
  <c r="W127" i="16"/>
  <c r="X127" i="16"/>
  <c r="W128" i="16"/>
  <c r="X128" i="16"/>
  <c r="W129" i="16"/>
  <c r="X129" i="16"/>
  <c r="W130" i="16"/>
  <c r="X130" i="16"/>
  <c r="W131" i="16"/>
  <c r="X131" i="16"/>
  <c r="W132" i="16"/>
  <c r="X132" i="16"/>
  <c r="W133" i="16"/>
  <c r="X133" i="16"/>
  <c r="W134" i="16"/>
  <c r="X134" i="16"/>
  <c r="W135" i="16"/>
  <c r="X135" i="16"/>
  <c r="W136" i="16"/>
  <c r="X136" i="16"/>
  <c r="W137" i="16"/>
  <c r="X137" i="16"/>
  <c r="W138" i="16"/>
  <c r="X138" i="16"/>
  <c r="W139" i="16"/>
  <c r="X139" i="16"/>
  <c r="W140" i="16"/>
  <c r="X140" i="16"/>
  <c r="W141" i="16"/>
  <c r="X141" i="16"/>
  <c r="W142" i="16"/>
  <c r="X142" i="16"/>
  <c r="W143" i="16"/>
  <c r="X143" i="16"/>
  <c r="W144" i="16"/>
  <c r="X144" i="16"/>
  <c r="W145" i="16"/>
  <c r="X145" i="16"/>
  <c r="W146" i="16"/>
  <c r="X146" i="16"/>
  <c r="W147" i="16"/>
  <c r="X147" i="16"/>
  <c r="W148" i="16"/>
  <c r="X148" i="16"/>
  <c r="W149" i="16"/>
  <c r="X149" i="16"/>
  <c r="W150" i="16"/>
  <c r="X150" i="16"/>
  <c r="W151" i="16"/>
  <c r="X151" i="16"/>
  <c r="W152" i="16"/>
  <c r="X152" i="16"/>
  <c r="W153" i="16"/>
  <c r="X153" i="16"/>
  <c r="W154" i="16"/>
  <c r="X154" i="16"/>
  <c r="W155" i="16"/>
  <c r="X155" i="16"/>
  <c r="W156" i="16"/>
  <c r="X156" i="16"/>
  <c r="W157" i="16"/>
  <c r="X157" i="16"/>
  <c r="W158" i="16"/>
  <c r="X158" i="16"/>
  <c r="W159" i="16"/>
  <c r="X159" i="16"/>
  <c r="W160" i="16"/>
  <c r="X160" i="16"/>
  <c r="W161" i="16"/>
  <c r="X161" i="16"/>
  <c r="W162" i="16"/>
  <c r="X162" i="16"/>
  <c r="W163" i="16"/>
  <c r="X163" i="16"/>
  <c r="W164" i="16"/>
  <c r="X164" i="16"/>
  <c r="W165" i="16"/>
  <c r="X165" i="16"/>
  <c r="W166" i="16"/>
  <c r="X166" i="16"/>
  <c r="W167" i="16"/>
  <c r="X167" i="16"/>
  <c r="W168" i="16"/>
  <c r="X168" i="16"/>
  <c r="W169" i="16"/>
  <c r="X169" i="16"/>
  <c r="W170" i="16"/>
  <c r="X170" i="16"/>
  <c r="W171" i="16"/>
  <c r="X171" i="16"/>
  <c r="W172" i="16"/>
  <c r="X172" i="16"/>
  <c r="W173" i="16"/>
  <c r="X173" i="16"/>
  <c r="W174" i="16"/>
  <c r="X174" i="16"/>
  <c r="W175" i="16"/>
  <c r="X175" i="16"/>
  <c r="W176" i="16"/>
  <c r="X176" i="16"/>
  <c r="W177" i="16"/>
  <c r="X177" i="16"/>
  <c r="W178" i="16"/>
  <c r="X178" i="16"/>
  <c r="W179" i="16"/>
  <c r="X179" i="16"/>
  <c r="W180" i="16"/>
  <c r="X180" i="16"/>
  <c r="W181" i="16"/>
  <c r="X181" i="16"/>
  <c r="W182" i="16"/>
  <c r="X182" i="16"/>
  <c r="W183" i="16"/>
  <c r="X183" i="16"/>
  <c r="W184" i="16"/>
  <c r="X184" i="16"/>
  <c r="W185" i="16"/>
  <c r="X185" i="16"/>
  <c r="W186" i="16"/>
  <c r="X186" i="16"/>
  <c r="W187" i="16"/>
  <c r="X187" i="16"/>
  <c r="W188" i="16"/>
  <c r="X188" i="16"/>
  <c r="W189" i="16"/>
  <c r="X189" i="16"/>
  <c r="W190" i="16"/>
  <c r="X190" i="16"/>
  <c r="W191" i="16"/>
  <c r="X191" i="16"/>
  <c r="W192" i="16"/>
  <c r="X192" i="16"/>
  <c r="W193" i="16"/>
  <c r="X193" i="16"/>
  <c r="W194" i="16"/>
  <c r="X194" i="16"/>
  <c r="W195" i="16"/>
  <c r="X195" i="16"/>
  <c r="W196" i="16"/>
  <c r="X196" i="16"/>
  <c r="W197" i="16"/>
  <c r="X197" i="16"/>
  <c r="W198" i="16"/>
  <c r="X198" i="16"/>
  <c r="W199" i="16"/>
  <c r="X199" i="16"/>
  <c r="W200" i="16"/>
  <c r="X200" i="16"/>
  <c r="W201" i="16"/>
  <c r="X201" i="16"/>
  <c r="W2" i="16"/>
  <c r="X2" i="16"/>
  <c r="U3" i="16"/>
  <c r="V3" i="16" s="1"/>
  <c r="U4" i="16"/>
  <c r="V4" i="16" s="1"/>
  <c r="U5" i="16"/>
  <c r="V5" i="16" s="1"/>
  <c r="U6" i="16"/>
  <c r="V6" i="16" s="1"/>
  <c r="U7" i="16"/>
  <c r="V7" i="16" s="1"/>
  <c r="U8" i="16"/>
  <c r="V8" i="16" s="1"/>
  <c r="U9" i="16"/>
  <c r="V9" i="16" s="1"/>
  <c r="U10" i="16"/>
  <c r="V10" i="16" s="1"/>
  <c r="U11" i="16"/>
  <c r="V11" i="16" s="1"/>
  <c r="U12" i="16"/>
  <c r="V12" i="16" s="1"/>
  <c r="U13" i="16"/>
  <c r="V13" i="16" s="1"/>
  <c r="U14" i="16"/>
  <c r="V14" i="16" s="1"/>
  <c r="U15" i="16"/>
  <c r="V15" i="16" s="1"/>
  <c r="U16" i="16"/>
  <c r="V16" i="16" s="1"/>
  <c r="U17" i="16"/>
  <c r="V17" i="16" s="1"/>
  <c r="U18" i="16"/>
  <c r="V18" i="16" s="1"/>
  <c r="U19" i="16"/>
  <c r="V19" i="16" s="1"/>
  <c r="U20" i="16"/>
  <c r="V20" i="16" s="1"/>
  <c r="U21" i="16"/>
  <c r="V21" i="16" s="1"/>
  <c r="U22" i="16"/>
  <c r="V22" i="16" s="1"/>
  <c r="U23" i="16"/>
  <c r="V23" i="16" s="1"/>
  <c r="U24" i="16"/>
  <c r="V24" i="16" s="1"/>
  <c r="U25" i="16"/>
  <c r="V25" i="16" s="1"/>
  <c r="U26" i="16"/>
  <c r="V26" i="16" s="1"/>
  <c r="U27" i="16"/>
  <c r="V27" i="16" s="1"/>
  <c r="U28" i="16"/>
  <c r="V28" i="16" s="1"/>
  <c r="U29" i="16"/>
  <c r="V29" i="16" s="1"/>
  <c r="U30" i="16"/>
  <c r="V30" i="16" s="1"/>
  <c r="U31" i="16"/>
  <c r="V31" i="16" s="1"/>
  <c r="U32" i="16"/>
  <c r="V32" i="16" s="1"/>
  <c r="U33" i="16"/>
  <c r="V33" i="16" s="1"/>
  <c r="U34" i="16"/>
  <c r="V34" i="16" s="1"/>
  <c r="U35" i="16"/>
  <c r="V35" i="16" s="1"/>
  <c r="U36" i="16"/>
  <c r="V36" i="16" s="1"/>
  <c r="U37" i="16"/>
  <c r="V37" i="16" s="1"/>
  <c r="U38" i="16"/>
  <c r="V38" i="16" s="1"/>
  <c r="U39" i="16"/>
  <c r="V39" i="16" s="1"/>
  <c r="U40" i="16"/>
  <c r="V40" i="16" s="1"/>
  <c r="U41" i="16"/>
  <c r="V41" i="16" s="1"/>
  <c r="U42" i="16"/>
  <c r="V42" i="16" s="1"/>
  <c r="U43" i="16"/>
  <c r="V43" i="16" s="1"/>
  <c r="U44" i="16"/>
  <c r="V44" i="16" s="1"/>
  <c r="U45" i="16"/>
  <c r="V45" i="16" s="1"/>
  <c r="U46" i="16"/>
  <c r="V46" i="16" s="1"/>
  <c r="U47" i="16"/>
  <c r="V47" i="16" s="1"/>
  <c r="U48" i="16"/>
  <c r="V48" i="16" s="1"/>
  <c r="U49" i="16"/>
  <c r="V49" i="16" s="1"/>
  <c r="U50" i="16"/>
  <c r="V50" i="16" s="1"/>
  <c r="U51" i="16"/>
  <c r="V51" i="16" s="1"/>
  <c r="U52" i="16"/>
  <c r="V52" i="16" s="1"/>
  <c r="U53" i="16"/>
  <c r="V53" i="16" s="1"/>
  <c r="U54" i="16"/>
  <c r="V54" i="16" s="1"/>
  <c r="U55" i="16"/>
  <c r="V55" i="16" s="1"/>
  <c r="U56" i="16"/>
  <c r="V56" i="16" s="1"/>
  <c r="U57" i="16"/>
  <c r="V57" i="16" s="1"/>
  <c r="U58" i="16"/>
  <c r="V58" i="16" s="1"/>
  <c r="U59" i="16"/>
  <c r="V59" i="16" s="1"/>
  <c r="U60" i="16"/>
  <c r="V60" i="16" s="1"/>
  <c r="U61" i="16"/>
  <c r="V61" i="16" s="1"/>
  <c r="U62" i="16"/>
  <c r="V62" i="16" s="1"/>
  <c r="U63" i="16"/>
  <c r="V63" i="16" s="1"/>
  <c r="U64" i="16"/>
  <c r="V64" i="16" s="1"/>
  <c r="U65" i="16"/>
  <c r="V65" i="16" s="1"/>
  <c r="U66" i="16"/>
  <c r="V66" i="16" s="1"/>
  <c r="U67" i="16"/>
  <c r="V67" i="16" s="1"/>
  <c r="U68" i="16"/>
  <c r="V68" i="16" s="1"/>
  <c r="U69" i="16"/>
  <c r="V69" i="16" s="1"/>
  <c r="U70" i="16"/>
  <c r="V70" i="16" s="1"/>
  <c r="U71" i="16"/>
  <c r="V71" i="16" s="1"/>
  <c r="U72" i="16"/>
  <c r="V72" i="16" s="1"/>
  <c r="U73" i="16"/>
  <c r="V73" i="16" s="1"/>
  <c r="U74" i="16"/>
  <c r="V74" i="16" s="1"/>
  <c r="U75" i="16"/>
  <c r="V75" i="16" s="1"/>
  <c r="U76" i="16"/>
  <c r="V76" i="16" s="1"/>
  <c r="U77" i="16"/>
  <c r="V77" i="16" s="1"/>
  <c r="U78" i="16"/>
  <c r="V78" i="16" s="1"/>
  <c r="U79" i="16"/>
  <c r="V79" i="16" s="1"/>
  <c r="U80" i="16"/>
  <c r="V80" i="16" s="1"/>
  <c r="U81" i="16"/>
  <c r="V81" i="16" s="1"/>
  <c r="U82" i="16"/>
  <c r="V82" i="16" s="1"/>
  <c r="U83" i="16"/>
  <c r="V83" i="16" s="1"/>
  <c r="U84" i="16"/>
  <c r="V84" i="16" s="1"/>
  <c r="U85" i="16"/>
  <c r="V85" i="16" s="1"/>
  <c r="U86" i="16"/>
  <c r="V86" i="16" s="1"/>
  <c r="U87" i="16"/>
  <c r="V87" i="16" s="1"/>
  <c r="U88" i="16"/>
  <c r="V88" i="16" s="1"/>
  <c r="U89" i="16"/>
  <c r="V89" i="16" s="1"/>
  <c r="U90" i="16"/>
  <c r="V90" i="16" s="1"/>
  <c r="U91" i="16"/>
  <c r="V91" i="16" s="1"/>
  <c r="U92" i="16"/>
  <c r="V92" i="16" s="1"/>
  <c r="U93" i="16"/>
  <c r="V93" i="16" s="1"/>
  <c r="U94" i="16"/>
  <c r="V94" i="16" s="1"/>
  <c r="U95" i="16"/>
  <c r="V95" i="16" s="1"/>
  <c r="U96" i="16"/>
  <c r="V96" i="16" s="1"/>
  <c r="U97" i="16"/>
  <c r="V97" i="16" s="1"/>
  <c r="U98" i="16"/>
  <c r="V98" i="16" s="1"/>
  <c r="U99" i="16"/>
  <c r="V99" i="16" s="1"/>
  <c r="U100" i="16"/>
  <c r="V100" i="16" s="1"/>
  <c r="U101" i="16"/>
  <c r="V101" i="16" s="1"/>
  <c r="U102" i="16"/>
  <c r="V102" i="16" s="1"/>
  <c r="U103" i="16"/>
  <c r="V103" i="16" s="1"/>
  <c r="U104" i="16"/>
  <c r="V104" i="16" s="1"/>
  <c r="U105" i="16"/>
  <c r="V105" i="16" s="1"/>
  <c r="U106" i="16"/>
  <c r="V106" i="16" s="1"/>
  <c r="U107" i="16"/>
  <c r="V107" i="16" s="1"/>
  <c r="U108" i="16"/>
  <c r="V108" i="16" s="1"/>
  <c r="U109" i="16"/>
  <c r="V109" i="16" s="1"/>
  <c r="U110" i="16"/>
  <c r="V110" i="16" s="1"/>
  <c r="U111" i="16"/>
  <c r="V111" i="16" s="1"/>
  <c r="U112" i="16"/>
  <c r="V112" i="16" s="1"/>
  <c r="U113" i="16"/>
  <c r="V113" i="16" s="1"/>
  <c r="U114" i="16"/>
  <c r="V114" i="16" s="1"/>
  <c r="U115" i="16"/>
  <c r="V115" i="16" s="1"/>
  <c r="U116" i="16"/>
  <c r="V116" i="16" s="1"/>
  <c r="U117" i="16"/>
  <c r="V117" i="16" s="1"/>
  <c r="U118" i="16"/>
  <c r="V118" i="16" s="1"/>
  <c r="U119" i="16"/>
  <c r="V119" i="16" s="1"/>
  <c r="U120" i="16"/>
  <c r="V120" i="16" s="1"/>
  <c r="U121" i="16"/>
  <c r="V121" i="16" s="1"/>
  <c r="U122" i="16"/>
  <c r="V122" i="16" s="1"/>
  <c r="U123" i="16"/>
  <c r="V123" i="16" s="1"/>
  <c r="U124" i="16"/>
  <c r="V124" i="16" s="1"/>
  <c r="U125" i="16"/>
  <c r="V125" i="16" s="1"/>
  <c r="U126" i="16"/>
  <c r="V126" i="16" s="1"/>
  <c r="U127" i="16"/>
  <c r="V127" i="16" s="1"/>
  <c r="U128" i="16"/>
  <c r="V128" i="16" s="1"/>
  <c r="U129" i="16"/>
  <c r="V129" i="16" s="1"/>
  <c r="U130" i="16"/>
  <c r="V130" i="16" s="1"/>
  <c r="U131" i="16"/>
  <c r="V131" i="16" s="1"/>
  <c r="U132" i="16"/>
  <c r="V132" i="16" s="1"/>
  <c r="U133" i="16"/>
  <c r="V133" i="16" s="1"/>
  <c r="U134" i="16"/>
  <c r="V134" i="16" s="1"/>
  <c r="U135" i="16"/>
  <c r="V135" i="16" s="1"/>
  <c r="U136" i="16"/>
  <c r="V136" i="16" s="1"/>
  <c r="U137" i="16"/>
  <c r="V137" i="16" s="1"/>
  <c r="U138" i="16"/>
  <c r="V138" i="16" s="1"/>
  <c r="U139" i="16"/>
  <c r="V139" i="16" s="1"/>
  <c r="U140" i="16"/>
  <c r="V140" i="16" s="1"/>
  <c r="U141" i="16"/>
  <c r="V141" i="16" s="1"/>
  <c r="U142" i="16"/>
  <c r="V142" i="16" s="1"/>
  <c r="U143" i="16"/>
  <c r="V143" i="16" s="1"/>
  <c r="U144" i="16"/>
  <c r="V144" i="16" s="1"/>
  <c r="U145" i="16"/>
  <c r="V145" i="16" s="1"/>
  <c r="U146" i="16"/>
  <c r="V146" i="16" s="1"/>
  <c r="U147" i="16"/>
  <c r="V147" i="16" s="1"/>
  <c r="U148" i="16"/>
  <c r="V148" i="16" s="1"/>
  <c r="U149" i="16"/>
  <c r="V149" i="16" s="1"/>
  <c r="U150" i="16"/>
  <c r="V150" i="16" s="1"/>
  <c r="U151" i="16"/>
  <c r="V151" i="16" s="1"/>
  <c r="U152" i="16"/>
  <c r="V152" i="16" s="1"/>
  <c r="U153" i="16"/>
  <c r="V153" i="16" s="1"/>
  <c r="U154" i="16"/>
  <c r="V154" i="16" s="1"/>
  <c r="U155" i="16"/>
  <c r="V155" i="16" s="1"/>
  <c r="U156" i="16"/>
  <c r="V156" i="16" s="1"/>
  <c r="U157" i="16"/>
  <c r="V157" i="16" s="1"/>
  <c r="U158" i="16"/>
  <c r="V158" i="16" s="1"/>
  <c r="U159" i="16"/>
  <c r="V159" i="16" s="1"/>
  <c r="U160" i="16"/>
  <c r="V160" i="16" s="1"/>
  <c r="U161" i="16"/>
  <c r="V161" i="16" s="1"/>
  <c r="U162" i="16"/>
  <c r="V162" i="16" s="1"/>
  <c r="U163" i="16"/>
  <c r="V163" i="16" s="1"/>
  <c r="U164" i="16"/>
  <c r="V164" i="16" s="1"/>
  <c r="U165" i="16"/>
  <c r="V165" i="16" s="1"/>
  <c r="U166" i="16"/>
  <c r="V166" i="16" s="1"/>
  <c r="U167" i="16"/>
  <c r="V167" i="16" s="1"/>
  <c r="U168" i="16"/>
  <c r="V168" i="16" s="1"/>
  <c r="U169" i="16"/>
  <c r="V169" i="16" s="1"/>
  <c r="U170" i="16"/>
  <c r="V170" i="16" s="1"/>
  <c r="U171" i="16"/>
  <c r="V171" i="16" s="1"/>
  <c r="U172" i="16"/>
  <c r="V172" i="16" s="1"/>
  <c r="U173" i="16"/>
  <c r="V173" i="16" s="1"/>
  <c r="U174" i="16"/>
  <c r="V174" i="16" s="1"/>
  <c r="U175" i="16"/>
  <c r="V175" i="16" s="1"/>
  <c r="U176" i="16"/>
  <c r="V176" i="16" s="1"/>
  <c r="U177" i="16"/>
  <c r="V177" i="16" s="1"/>
  <c r="U178" i="16"/>
  <c r="V178" i="16" s="1"/>
  <c r="U179" i="16"/>
  <c r="V179" i="16" s="1"/>
  <c r="U180" i="16"/>
  <c r="V180" i="16" s="1"/>
  <c r="U181" i="16"/>
  <c r="V181" i="16" s="1"/>
  <c r="U182" i="16"/>
  <c r="V182" i="16" s="1"/>
  <c r="U183" i="16"/>
  <c r="V183" i="16" s="1"/>
  <c r="U184" i="16"/>
  <c r="V184" i="16" s="1"/>
  <c r="U185" i="16"/>
  <c r="V185" i="16" s="1"/>
  <c r="U186" i="16"/>
  <c r="V186" i="16" s="1"/>
  <c r="U187" i="16"/>
  <c r="V187" i="16" s="1"/>
  <c r="U188" i="16"/>
  <c r="V188" i="16" s="1"/>
  <c r="U189" i="16"/>
  <c r="V189" i="16" s="1"/>
  <c r="U190" i="16"/>
  <c r="V190" i="16" s="1"/>
  <c r="U191" i="16"/>
  <c r="V191" i="16" s="1"/>
  <c r="U192" i="16"/>
  <c r="V192" i="16" s="1"/>
  <c r="U193" i="16"/>
  <c r="V193" i="16" s="1"/>
  <c r="U194" i="16"/>
  <c r="V194" i="16" s="1"/>
  <c r="U195" i="16"/>
  <c r="V195" i="16" s="1"/>
  <c r="U196" i="16"/>
  <c r="V196" i="16" s="1"/>
  <c r="U197" i="16"/>
  <c r="V197" i="16" s="1"/>
  <c r="U198" i="16"/>
  <c r="V198" i="16" s="1"/>
  <c r="U199" i="16"/>
  <c r="V199" i="16" s="1"/>
  <c r="U200" i="16"/>
  <c r="V200" i="16" s="1"/>
  <c r="U201" i="16"/>
  <c r="V201" i="16" s="1"/>
  <c r="U2" i="16"/>
  <c r="V2" i="16" s="1"/>
  <c r="AC28" i="1" a="1"/>
  <c r="AC28" i="1"/>
  <c r="AC26" i="1"/>
  <c r="AC24" i="1" a="1"/>
  <c r="AC24" i="1"/>
  <c r="AA8" i="1"/>
  <c r="AA2" i="1"/>
  <c r="AA3" i="1"/>
  <c r="AA4" i="1"/>
  <c r="AA5" i="1"/>
  <c r="AA6" i="1"/>
  <c r="AA7" i="1"/>
  <c r="AA9" i="1"/>
  <c r="AC12" i="1"/>
  <c r="AC20"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C4"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3" i="1"/>
  <c r="U4" i="1"/>
  <c r="U5" i="1"/>
  <c r="U6" i="1"/>
  <c r="U7" i="1"/>
  <c r="U8" i="1"/>
  <c r="U9" i="1"/>
  <c r="U10" i="1"/>
  <c r="U11" i="1"/>
  <c r="U12" i="1"/>
  <c r="U13" i="1"/>
  <c r="U14" i="1"/>
  <c r="U15" i="1"/>
  <c r="U16" i="1"/>
  <c r="U17" i="1"/>
  <c r="U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13" i="1"/>
  <c r="J14" i="1"/>
  <c r="J15" i="1"/>
  <c r="J16" i="1"/>
  <c r="J17" i="1"/>
  <c r="J18" i="1"/>
  <c r="J19" i="1"/>
  <c r="J3" i="1"/>
  <c r="J4" i="1"/>
  <c r="J5" i="1"/>
  <c r="J6" i="1"/>
  <c r="J7" i="1"/>
  <c r="J8" i="1"/>
  <c r="J9" i="1"/>
  <c r="J10" i="1"/>
  <c r="J11" i="1"/>
  <c r="J12" i="1"/>
  <c r="J2" i="1"/>
  <c r="F2" i="1"/>
  <c r="F14" i="1"/>
  <c r="G14" i="1"/>
  <c r="F122" i="1"/>
  <c r="F3" i="1"/>
  <c r="G3" i="1"/>
  <c r="H3" i="1"/>
  <c r="F4" i="1"/>
  <c r="H4" i="1"/>
  <c r="F5" i="1"/>
  <c r="H5" i="1"/>
  <c r="F6" i="1"/>
  <c r="H6" i="1"/>
  <c r="F7" i="1"/>
  <c r="H7" i="1"/>
  <c r="F8" i="1"/>
  <c r="H8" i="1"/>
  <c r="F9" i="1"/>
  <c r="H9" i="1"/>
  <c r="F10" i="1"/>
  <c r="H10" i="1"/>
  <c r="F11" i="1"/>
  <c r="H11" i="1"/>
  <c r="F12" i="1"/>
  <c r="F13" i="1"/>
  <c r="H13" i="1"/>
  <c r="F15" i="1"/>
  <c r="H15" i="1"/>
  <c r="F16" i="1"/>
  <c r="H16" i="1"/>
  <c r="F17" i="1"/>
  <c r="F18" i="1"/>
  <c r="G18" i="1"/>
  <c r="F19" i="1"/>
  <c r="H19" i="1"/>
  <c r="F20" i="1"/>
  <c r="H20" i="1"/>
  <c r="F21" i="1"/>
  <c r="H21" i="1"/>
  <c r="F22" i="1"/>
  <c r="G22" i="1"/>
  <c r="F23" i="1"/>
  <c r="H23" i="1"/>
  <c r="F24" i="1"/>
  <c r="H24" i="1"/>
  <c r="F25" i="1"/>
  <c r="G25" i="1"/>
  <c r="F26" i="1"/>
  <c r="G26" i="1"/>
  <c r="F27" i="1"/>
  <c r="H27" i="1"/>
  <c r="F28" i="1"/>
  <c r="H28" i="1"/>
  <c r="F29" i="1"/>
  <c r="H29" i="1"/>
  <c r="F30" i="1"/>
  <c r="H30" i="1"/>
  <c r="F31" i="1"/>
  <c r="H31" i="1"/>
  <c r="F32" i="1"/>
  <c r="G32" i="1"/>
  <c r="F33" i="1"/>
  <c r="G33" i="1"/>
  <c r="F34" i="1"/>
  <c r="F35" i="1"/>
  <c r="H35" i="1"/>
  <c r="F36" i="1"/>
  <c r="H36" i="1"/>
  <c r="F37" i="1"/>
  <c r="H37" i="1"/>
  <c r="F38" i="1"/>
  <c r="H38" i="1"/>
  <c r="F39" i="1"/>
  <c r="H39" i="1"/>
  <c r="F40" i="1"/>
  <c r="H40" i="1"/>
  <c r="F41" i="1"/>
  <c r="F42" i="1"/>
  <c r="H42" i="1"/>
  <c r="F43" i="1"/>
  <c r="H43" i="1"/>
  <c r="F44" i="1"/>
  <c r="H44" i="1"/>
  <c r="F45" i="1"/>
  <c r="G45" i="1"/>
  <c r="F46" i="1"/>
  <c r="G46" i="1"/>
  <c r="F47" i="1"/>
  <c r="H47" i="1"/>
  <c r="F48" i="1"/>
  <c r="H48" i="1"/>
  <c r="F49" i="1"/>
  <c r="F50" i="1"/>
  <c r="G50" i="1"/>
  <c r="F51" i="1"/>
  <c r="H51" i="1"/>
  <c r="F52" i="1"/>
  <c r="H52" i="1"/>
  <c r="F53" i="1"/>
  <c r="H53" i="1"/>
  <c r="F54" i="1"/>
  <c r="G54" i="1"/>
  <c r="F55" i="1"/>
  <c r="H55" i="1"/>
  <c r="F56" i="1"/>
  <c r="H56" i="1"/>
  <c r="F57" i="1"/>
  <c r="H57" i="1"/>
  <c r="F58" i="1"/>
  <c r="H58" i="1"/>
  <c r="F59" i="1"/>
  <c r="G59" i="1"/>
  <c r="F60" i="1"/>
  <c r="H60" i="1"/>
  <c r="F61" i="1"/>
  <c r="H61" i="1"/>
  <c r="F62" i="1"/>
  <c r="G62" i="1"/>
  <c r="F63" i="1"/>
  <c r="G63" i="1"/>
  <c r="F64" i="1"/>
  <c r="H64" i="1"/>
  <c r="F65" i="1"/>
  <c r="F66" i="1"/>
  <c r="H66" i="1"/>
  <c r="F67" i="1"/>
  <c r="G67" i="1"/>
  <c r="F68" i="1"/>
  <c r="H68" i="1"/>
  <c r="F69" i="1"/>
  <c r="H69" i="1"/>
  <c r="F70" i="1"/>
  <c r="H70" i="1"/>
  <c r="F71" i="1"/>
  <c r="H71" i="1"/>
  <c r="F72" i="1"/>
  <c r="H72" i="1"/>
  <c r="F73" i="1"/>
  <c r="H73" i="1"/>
  <c r="F74" i="1"/>
  <c r="H74" i="1"/>
  <c r="F75" i="1"/>
  <c r="H75" i="1"/>
  <c r="F76" i="1"/>
  <c r="G76" i="1"/>
  <c r="H76" i="1"/>
  <c r="F77" i="1"/>
  <c r="H77" i="1"/>
  <c r="F78" i="1"/>
  <c r="H78" i="1"/>
  <c r="F79" i="1"/>
  <c r="H79" i="1"/>
  <c r="F80" i="1"/>
  <c r="H80" i="1"/>
  <c r="F81" i="1"/>
  <c r="F82" i="1"/>
  <c r="G82" i="1"/>
  <c r="F83" i="1"/>
  <c r="H83" i="1"/>
  <c r="F84" i="1"/>
  <c r="H84" i="1"/>
  <c r="F85" i="1"/>
  <c r="H85" i="1"/>
  <c r="F86" i="1"/>
  <c r="H86" i="1"/>
  <c r="F87" i="1"/>
  <c r="H87" i="1"/>
  <c r="F88" i="1"/>
  <c r="H88" i="1"/>
  <c r="F89" i="1"/>
  <c r="F90" i="1"/>
  <c r="H90" i="1"/>
  <c r="F91" i="1"/>
  <c r="H91" i="1"/>
  <c r="F92" i="1"/>
  <c r="H92" i="1"/>
  <c r="F93" i="1"/>
  <c r="H93" i="1"/>
  <c r="F94" i="1"/>
  <c r="H94" i="1"/>
  <c r="F95" i="1"/>
  <c r="H95" i="1"/>
  <c r="F96" i="1"/>
  <c r="G96" i="1"/>
  <c r="F97" i="1"/>
  <c r="F98" i="1"/>
  <c r="H98" i="1"/>
  <c r="F99" i="1"/>
  <c r="H99" i="1"/>
  <c r="F100" i="1"/>
  <c r="H100" i="1"/>
  <c r="F101" i="1"/>
  <c r="H101" i="1"/>
  <c r="F102" i="1"/>
  <c r="H102" i="1"/>
  <c r="F103" i="1"/>
  <c r="H103" i="1"/>
  <c r="F104" i="1"/>
  <c r="G104" i="1"/>
  <c r="F105" i="1"/>
  <c r="H105" i="1"/>
  <c r="F106" i="1"/>
  <c r="G106" i="1"/>
  <c r="F107" i="1"/>
  <c r="H107" i="1"/>
  <c r="F108" i="1"/>
  <c r="H108" i="1"/>
  <c r="F109" i="1"/>
  <c r="F110" i="1"/>
  <c r="H110" i="1"/>
  <c r="F111" i="1"/>
  <c r="H111" i="1"/>
  <c r="F112" i="1"/>
  <c r="G112" i="1"/>
  <c r="F113" i="1"/>
  <c r="H113" i="1"/>
  <c r="F114" i="1"/>
  <c r="G114" i="1"/>
  <c r="F115" i="1"/>
  <c r="H115" i="1"/>
  <c r="F116" i="1"/>
  <c r="G116" i="1"/>
  <c r="F117" i="1"/>
  <c r="F118" i="1"/>
  <c r="H118" i="1"/>
  <c r="F119" i="1"/>
  <c r="H119" i="1"/>
  <c r="F120" i="1"/>
  <c r="G120" i="1"/>
  <c r="F121" i="1"/>
  <c r="F123" i="1"/>
  <c r="H123" i="1"/>
  <c r="F124" i="1"/>
  <c r="G124" i="1"/>
  <c r="F125" i="1"/>
  <c r="H125" i="1"/>
  <c r="F126" i="1"/>
  <c r="H126" i="1"/>
  <c r="F127" i="1"/>
  <c r="H127" i="1"/>
  <c r="F128" i="1"/>
  <c r="H128" i="1"/>
  <c r="F129" i="1"/>
  <c r="H129" i="1"/>
  <c r="F130" i="1"/>
  <c r="H130" i="1"/>
  <c r="F131" i="1"/>
  <c r="H131" i="1"/>
  <c r="F132" i="1"/>
  <c r="H132" i="1"/>
  <c r="F133" i="1"/>
  <c r="G133" i="1"/>
  <c r="H133" i="1"/>
  <c r="F134" i="1"/>
  <c r="H134" i="1"/>
  <c r="F135" i="1"/>
  <c r="H135" i="1"/>
  <c r="F136" i="1"/>
  <c r="H136" i="1"/>
  <c r="F137" i="1"/>
  <c r="H137" i="1"/>
  <c r="F138" i="1"/>
  <c r="H138" i="1"/>
  <c r="F139" i="1"/>
  <c r="H139" i="1"/>
  <c r="F140" i="1"/>
  <c r="G140" i="1"/>
  <c r="F141" i="1"/>
  <c r="H141" i="1"/>
  <c r="F142" i="1"/>
  <c r="H142" i="1"/>
  <c r="F143" i="1"/>
  <c r="H143" i="1"/>
  <c r="F144" i="1"/>
  <c r="H144" i="1"/>
  <c r="F145" i="1"/>
  <c r="G145" i="1"/>
  <c r="F146" i="1"/>
  <c r="G146" i="1"/>
  <c r="F147" i="1"/>
  <c r="H147" i="1"/>
  <c r="F148" i="1"/>
  <c r="H148" i="1"/>
  <c r="F149" i="1"/>
  <c r="H149" i="1"/>
  <c r="F150" i="1"/>
  <c r="H150" i="1"/>
  <c r="F151" i="1"/>
  <c r="H151" i="1"/>
  <c r="F152" i="1"/>
  <c r="H152" i="1"/>
  <c r="F153" i="1"/>
  <c r="H153" i="1"/>
  <c r="F154" i="1"/>
  <c r="H154" i="1"/>
  <c r="F155" i="1"/>
  <c r="H155" i="1"/>
  <c r="F156" i="1"/>
  <c r="H156" i="1"/>
  <c r="F157" i="1"/>
  <c r="H157" i="1"/>
  <c r="F158" i="1"/>
  <c r="H158" i="1"/>
  <c r="F159" i="1"/>
  <c r="H159" i="1"/>
  <c r="F160" i="1"/>
  <c r="G160" i="1"/>
  <c r="F161" i="1"/>
  <c r="H161" i="1"/>
  <c r="F162" i="1"/>
  <c r="H162" i="1"/>
  <c r="F163" i="1"/>
  <c r="H163" i="1"/>
  <c r="F164" i="1"/>
  <c r="H164" i="1"/>
  <c r="F165" i="1"/>
  <c r="G165" i="1"/>
  <c r="H165" i="1"/>
  <c r="F166" i="1"/>
  <c r="H166" i="1"/>
  <c r="F167" i="1"/>
  <c r="H167" i="1"/>
  <c r="F168" i="1"/>
  <c r="G168" i="1"/>
  <c r="H168" i="1"/>
  <c r="F169" i="1"/>
  <c r="G169" i="1"/>
  <c r="F170" i="1"/>
  <c r="G170" i="1"/>
  <c r="F171" i="1"/>
  <c r="H171" i="1"/>
  <c r="F172" i="1"/>
  <c r="H172" i="1"/>
  <c r="F173" i="1"/>
  <c r="G173" i="1"/>
  <c r="F174" i="1"/>
  <c r="H174" i="1"/>
  <c r="F175" i="1"/>
  <c r="H175" i="1"/>
  <c r="F176" i="1"/>
  <c r="G176" i="1"/>
  <c r="F177" i="1"/>
  <c r="G177" i="1"/>
  <c r="F178" i="1"/>
  <c r="G178" i="1"/>
  <c r="F179" i="1"/>
  <c r="H179" i="1"/>
  <c r="F180" i="1"/>
  <c r="G180" i="1"/>
  <c r="F181" i="1"/>
  <c r="G181" i="1"/>
  <c r="F182" i="1"/>
  <c r="G182" i="1"/>
  <c r="F183" i="1"/>
  <c r="H183" i="1"/>
  <c r="F184" i="1"/>
  <c r="G184" i="1"/>
  <c r="F185" i="1"/>
  <c r="G185" i="1"/>
  <c r="F186" i="1"/>
  <c r="H186" i="1"/>
  <c r="F187" i="1"/>
  <c r="H187" i="1"/>
  <c r="F188" i="1"/>
  <c r="G188" i="1"/>
  <c r="F189" i="1"/>
  <c r="H189" i="1"/>
  <c r="F190" i="1"/>
  <c r="G190" i="1"/>
  <c r="F191" i="1"/>
  <c r="H191" i="1"/>
  <c r="F192" i="1"/>
  <c r="H192" i="1"/>
  <c r="F193" i="1"/>
  <c r="H193" i="1"/>
  <c r="F194" i="1"/>
  <c r="H194" i="1"/>
  <c r="F195" i="1"/>
  <c r="H195" i="1"/>
  <c r="F196" i="1"/>
  <c r="H196" i="1"/>
  <c r="F197" i="1"/>
  <c r="G197" i="1"/>
  <c r="H197" i="1"/>
  <c r="F198" i="1"/>
  <c r="H198" i="1"/>
  <c r="F199" i="1"/>
  <c r="H199" i="1"/>
  <c r="F200" i="1"/>
  <c r="H200" i="1"/>
  <c r="F201" i="1"/>
  <c r="H201" i="1"/>
  <c r="H2" i="1"/>
  <c r="AD3" i="1"/>
  <c r="C3" i="1"/>
  <c r="AD4" i="1"/>
  <c r="C4" i="1"/>
  <c r="AD5" i="1"/>
  <c r="C5" i="1"/>
  <c r="AD6" i="1"/>
  <c r="C6" i="1"/>
  <c r="AD7" i="1"/>
  <c r="C7" i="1"/>
  <c r="AD8" i="1"/>
  <c r="C8" i="1"/>
  <c r="AD9" i="1"/>
  <c r="C9" i="1"/>
  <c r="AD10" i="1"/>
  <c r="AE10" i="1"/>
  <c r="AD11" i="1"/>
  <c r="C11" i="1"/>
  <c r="AD12" i="1"/>
  <c r="C12" i="1"/>
  <c r="AD13" i="1"/>
  <c r="C13" i="1"/>
  <c r="AD14" i="1"/>
  <c r="C14" i="1"/>
  <c r="AD15" i="1"/>
  <c r="C15" i="1"/>
  <c r="AD16" i="1"/>
  <c r="C16" i="1"/>
  <c r="AD17" i="1"/>
  <c r="C17" i="1"/>
  <c r="AD18" i="1"/>
  <c r="AD19" i="1"/>
  <c r="C19" i="1"/>
  <c r="AD20" i="1"/>
  <c r="C20" i="1"/>
  <c r="AD21" i="1"/>
  <c r="C21" i="1"/>
  <c r="AD22" i="1"/>
  <c r="C22" i="1"/>
  <c r="AD23" i="1"/>
  <c r="C23" i="1"/>
  <c r="AD24" i="1"/>
  <c r="C24" i="1"/>
  <c r="AD25" i="1"/>
  <c r="C25" i="1"/>
  <c r="AD26" i="1"/>
  <c r="AD27" i="1"/>
  <c r="C27" i="1"/>
  <c r="AD28" i="1"/>
  <c r="C28" i="1"/>
  <c r="AD29" i="1"/>
  <c r="C29" i="1"/>
  <c r="AD30" i="1"/>
  <c r="C30" i="1"/>
  <c r="AD31" i="1"/>
  <c r="C31" i="1"/>
  <c r="AD32" i="1"/>
  <c r="C32" i="1"/>
  <c r="AD33" i="1"/>
  <c r="C33" i="1"/>
  <c r="AD34" i="1"/>
  <c r="AE34" i="1"/>
  <c r="AD35" i="1"/>
  <c r="C35" i="1"/>
  <c r="AD36" i="1"/>
  <c r="C36" i="1"/>
  <c r="AD37" i="1"/>
  <c r="C37" i="1"/>
  <c r="AD38" i="1"/>
  <c r="C38" i="1"/>
  <c r="AD39" i="1"/>
  <c r="C39" i="1"/>
  <c r="AD40" i="1"/>
  <c r="C40" i="1"/>
  <c r="AD41" i="1"/>
  <c r="C41" i="1"/>
  <c r="AD42" i="1"/>
  <c r="AE42" i="1"/>
  <c r="AD43" i="1"/>
  <c r="C43" i="1"/>
  <c r="AD44" i="1"/>
  <c r="C44" i="1"/>
  <c r="AD45" i="1"/>
  <c r="C45" i="1"/>
  <c r="AD46" i="1"/>
  <c r="C46" i="1"/>
  <c r="AD47" i="1"/>
  <c r="C47" i="1"/>
  <c r="AD48" i="1"/>
  <c r="C48" i="1"/>
  <c r="AD49" i="1"/>
  <c r="AE49" i="1"/>
  <c r="AD50" i="1"/>
  <c r="AE50" i="1"/>
  <c r="AD51" i="1"/>
  <c r="C51" i="1"/>
  <c r="AD52" i="1"/>
  <c r="C52" i="1"/>
  <c r="AD53" i="1"/>
  <c r="C53" i="1"/>
  <c r="AD54" i="1"/>
  <c r="AD55" i="1"/>
  <c r="C55" i="1"/>
  <c r="AD56" i="1"/>
  <c r="C56" i="1"/>
  <c r="AD57" i="1"/>
  <c r="C57" i="1"/>
  <c r="AD58" i="1"/>
  <c r="AE58" i="1"/>
  <c r="AD59" i="1"/>
  <c r="C59" i="1"/>
  <c r="AD60" i="1"/>
  <c r="C60" i="1"/>
  <c r="AD61" i="1"/>
  <c r="AE61" i="1"/>
  <c r="AD62" i="1"/>
  <c r="AD63" i="1"/>
  <c r="C63" i="1"/>
  <c r="AD64" i="1"/>
  <c r="C64" i="1"/>
  <c r="AD65" i="1"/>
  <c r="AE65" i="1"/>
  <c r="AD66" i="1"/>
  <c r="AE66" i="1"/>
  <c r="AD67" i="1"/>
  <c r="C67" i="1"/>
  <c r="AD68" i="1"/>
  <c r="C68" i="1"/>
  <c r="AD69" i="1"/>
  <c r="C69" i="1"/>
  <c r="AD70" i="1"/>
  <c r="C70" i="1"/>
  <c r="AD71" i="1"/>
  <c r="C71" i="1"/>
  <c r="AD72" i="1"/>
  <c r="C72" i="1"/>
  <c r="AD73" i="1"/>
  <c r="AE73" i="1"/>
  <c r="AD74" i="1"/>
  <c r="AE74" i="1"/>
  <c r="AD75" i="1"/>
  <c r="C75" i="1"/>
  <c r="AD76" i="1"/>
  <c r="C76" i="1"/>
  <c r="AD77" i="1"/>
  <c r="AE77" i="1"/>
  <c r="AD78" i="1"/>
  <c r="C78" i="1"/>
  <c r="AD79" i="1"/>
  <c r="C79" i="1"/>
  <c r="AD80" i="1"/>
  <c r="C80" i="1"/>
  <c r="AD81" i="1"/>
  <c r="C81" i="1"/>
  <c r="AD82" i="1"/>
  <c r="AE82" i="1"/>
  <c r="AD83" i="1"/>
  <c r="C83" i="1"/>
  <c r="AD84" i="1"/>
  <c r="C84" i="1"/>
  <c r="AD85" i="1"/>
  <c r="C85" i="1"/>
  <c r="AD86" i="1"/>
  <c r="C86" i="1"/>
  <c r="AD87" i="1"/>
  <c r="C87" i="1"/>
  <c r="AD88" i="1"/>
  <c r="C88" i="1"/>
  <c r="AD89" i="1"/>
  <c r="AE89" i="1"/>
  <c r="AD90" i="1"/>
  <c r="AE90" i="1"/>
  <c r="AD91" i="1"/>
  <c r="C91" i="1"/>
  <c r="AD92" i="1"/>
  <c r="C92" i="1"/>
  <c r="AD93" i="1"/>
  <c r="C93" i="1"/>
  <c r="AD94" i="1"/>
  <c r="C94" i="1"/>
  <c r="AD95" i="1"/>
  <c r="C95" i="1"/>
  <c r="AD96" i="1"/>
  <c r="C96" i="1"/>
  <c r="AD97" i="1"/>
  <c r="AE97" i="1"/>
  <c r="C97" i="1"/>
  <c r="AD98" i="1"/>
  <c r="AD99" i="1"/>
  <c r="C99" i="1"/>
  <c r="AD100" i="1"/>
  <c r="C100" i="1"/>
  <c r="AD101" i="1"/>
  <c r="AE101" i="1"/>
  <c r="AD102" i="1"/>
  <c r="C102" i="1"/>
  <c r="AD103" i="1"/>
  <c r="C103" i="1"/>
  <c r="AD104" i="1"/>
  <c r="C104" i="1"/>
  <c r="AD105" i="1"/>
  <c r="C105" i="1"/>
  <c r="AD106" i="1"/>
  <c r="AE106" i="1"/>
  <c r="AD107" i="1"/>
  <c r="C107" i="1"/>
  <c r="AD108" i="1"/>
  <c r="C108" i="1"/>
  <c r="AD109" i="1"/>
  <c r="AE109" i="1"/>
  <c r="AD110" i="1"/>
  <c r="C110" i="1"/>
  <c r="AD111" i="1"/>
  <c r="C111" i="1"/>
  <c r="AD112" i="1"/>
  <c r="C112" i="1"/>
  <c r="AD113" i="1"/>
  <c r="AE113" i="1"/>
  <c r="AD114" i="1"/>
  <c r="AD115" i="1"/>
  <c r="C115" i="1"/>
  <c r="AD116" i="1"/>
  <c r="C116" i="1"/>
  <c r="AD117" i="1"/>
  <c r="AE117" i="1"/>
  <c r="AD118" i="1"/>
  <c r="AD119" i="1"/>
  <c r="C119" i="1"/>
  <c r="AD120" i="1"/>
  <c r="C120" i="1"/>
  <c r="AD121" i="1"/>
  <c r="C121" i="1"/>
  <c r="AD122" i="1"/>
  <c r="AE122" i="1"/>
  <c r="AD123" i="1"/>
  <c r="C123" i="1"/>
  <c r="AD124" i="1"/>
  <c r="C124" i="1"/>
  <c r="AD125" i="1"/>
  <c r="C125" i="1"/>
  <c r="AD126" i="1"/>
  <c r="AD127" i="1"/>
  <c r="C127" i="1"/>
  <c r="AD128" i="1"/>
  <c r="C128" i="1"/>
  <c r="AD129" i="1"/>
  <c r="C129" i="1"/>
  <c r="AD130" i="1"/>
  <c r="AE130" i="1"/>
  <c r="AD131" i="1"/>
  <c r="C131" i="1"/>
  <c r="AD132" i="1"/>
  <c r="C132" i="1"/>
  <c r="AD133" i="1"/>
  <c r="C133" i="1"/>
  <c r="AD134" i="1"/>
  <c r="C134" i="1"/>
  <c r="AD135" i="1"/>
  <c r="C135" i="1"/>
  <c r="AD136" i="1"/>
  <c r="C136" i="1"/>
  <c r="AD137" i="1"/>
  <c r="C137" i="1"/>
  <c r="AD138" i="1"/>
  <c r="AD139" i="1"/>
  <c r="C139" i="1"/>
  <c r="AD140" i="1"/>
  <c r="C140" i="1"/>
  <c r="AD141" i="1"/>
  <c r="C141" i="1"/>
  <c r="AD142" i="1"/>
  <c r="C142" i="1"/>
  <c r="AD143" i="1"/>
  <c r="C143" i="1"/>
  <c r="AD144" i="1"/>
  <c r="C144" i="1"/>
  <c r="AD145" i="1"/>
  <c r="C145" i="1"/>
  <c r="AD146" i="1"/>
  <c r="AE146" i="1"/>
  <c r="AD147" i="1"/>
  <c r="C147" i="1"/>
  <c r="AD148" i="1"/>
  <c r="C148" i="1"/>
  <c r="AD149" i="1"/>
  <c r="C149" i="1"/>
  <c r="AD150" i="1"/>
  <c r="C150" i="1"/>
  <c r="AD151" i="1"/>
  <c r="C151" i="1"/>
  <c r="AD152" i="1"/>
  <c r="C152" i="1"/>
  <c r="AD153" i="1"/>
  <c r="C153" i="1"/>
  <c r="AD154" i="1"/>
  <c r="AD155" i="1"/>
  <c r="C155" i="1"/>
  <c r="AD156" i="1"/>
  <c r="C156" i="1"/>
  <c r="AD157" i="1"/>
  <c r="C157" i="1"/>
  <c r="AD158" i="1"/>
  <c r="C158" i="1"/>
  <c r="AD159" i="1"/>
  <c r="C159" i="1"/>
  <c r="AD160" i="1"/>
  <c r="C160" i="1"/>
  <c r="AD161" i="1"/>
  <c r="C161" i="1"/>
  <c r="AD162" i="1"/>
  <c r="AE162" i="1"/>
  <c r="AD163" i="1"/>
  <c r="C163" i="1"/>
  <c r="AD164" i="1"/>
  <c r="AE164" i="1"/>
  <c r="AD165" i="1"/>
  <c r="C165" i="1"/>
  <c r="AD166" i="1"/>
  <c r="C166" i="1"/>
  <c r="AD167" i="1"/>
  <c r="C167" i="1"/>
  <c r="AD168" i="1"/>
  <c r="C168" i="1"/>
  <c r="AD169" i="1"/>
  <c r="C169" i="1"/>
  <c r="AD170" i="1"/>
  <c r="AE170" i="1"/>
  <c r="AD171" i="1"/>
  <c r="C171" i="1"/>
  <c r="AD172" i="1"/>
  <c r="C172" i="1"/>
  <c r="AD173" i="1"/>
  <c r="C173" i="1"/>
  <c r="AD174" i="1"/>
  <c r="C174" i="1"/>
  <c r="AD175" i="1"/>
  <c r="C175" i="1"/>
  <c r="AD176" i="1"/>
  <c r="C176" i="1"/>
  <c r="AD177" i="1"/>
  <c r="AE177" i="1"/>
  <c r="AD178" i="1"/>
  <c r="AE178" i="1"/>
  <c r="AD179" i="1"/>
  <c r="C179" i="1"/>
  <c r="AD180" i="1"/>
  <c r="C180" i="1"/>
  <c r="AD181" i="1"/>
  <c r="C181" i="1"/>
  <c r="AD182" i="1"/>
  <c r="AD183" i="1"/>
  <c r="C183" i="1"/>
  <c r="AD184" i="1"/>
  <c r="C184" i="1"/>
  <c r="AD185" i="1"/>
  <c r="C185" i="1"/>
  <c r="AD186" i="1"/>
  <c r="AE186" i="1"/>
  <c r="AD187" i="1"/>
  <c r="C187" i="1"/>
  <c r="AD188" i="1"/>
  <c r="C188" i="1"/>
  <c r="AD189" i="1"/>
  <c r="AE189" i="1"/>
  <c r="AD190" i="1"/>
  <c r="AD191" i="1"/>
  <c r="C191" i="1"/>
  <c r="AD192" i="1"/>
  <c r="C192" i="1"/>
  <c r="AD193" i="1"/>
  <c r="C193" i="1"/>
  <c r="AD194" i="1"/>
  <c r="AE194" i="1"/>
  <c r="AD195" i="1"/>
  <c r="C195" i="1"/>
  <c r="AD196" i="1"/>
  <c r="C196" i="1"/>
  <c r="AD197" i="1"/>
  <c r="C197" i="1"/>
  <c r="AD198" i="1"/>
  <c r="C198" i="1"/>
  <c r="AD199" i="1"/>
  <c r="C199" i="1"/>
  <c r="AD200" i="1"/>
  <c r="C200" i="1"/>
  <c r="AD201" i="1"/>
  <c r="AE201" i="1"/>
  <c r="AD2" i="1"/>
  <c r="AE2" i="1"/>
  <c r="G10" i="1"/>
  <c r="G186" i="1"/>
  <c r="G102" i="1"/>
  <c r="H182" i="1"/>
  <c r="G98" i="1"/>
  <c r="H178" i="1"/>
  <c r="G166" i="1"/>
  <c r="G74" i="1"/>
  <c r="H114" i="1"/>
  <c r="G142" i="1"/>
  <c r="G42" i="1"/>
  <c r="H50" i="1"/>
  <c r="G2" i="1"/>
  <c r="G138" i="1"/>
  <c r="G70" i="1"/>
  <c r="G6" i="1"/>
  <c r="H170" i="1"/>
  <c r="H106" i="1"/>
  <c r="H81" i="1"/>
  <c r="G81" i="1"/>
  <c r="H65" i="1"/>
  <c r="G65" i="1"/>
  <c r="H25" i="1"/>
  <c r="H17" i="1"/>
  <c r="G17" i="1"/>
  <c r="G201" i="1"/>
  <c r="G158" i="1"/>
  <c r="G137" i="1"/>
  <c r="G94" i="1"/>
  <c r="G66" i="1"/>
  <c r="G198" i="1"/>
  <c r="G154" i="1"/>
  <c r="G134" i="1"/>
  <c r="G113" i="1"/>
  <c r="G90" i="1"/>
  <c r="G30" i="1"/>
  <c r="H26" i="1"/>
  <c r="G174" i="1"/>
  <c r="G110" i="1"/>
  <c r="H82" i="1"/>
  <c r="H22" i="1"/>
  <c r="G150" i="1"/>
  <c r="G86" i="1"/>
  <c r="H190" i="1"/>
  <c r="H18" i="1"/>
  <c r="G126" i="1"/>
  <c r="G105" i="1"/>
  <c r="G200" i="1"/>
  <c r="G192" i="1"/>
  <c r="G144" i="1"/>
  <c r="G136" i="1"/>
  <c r="G128" i="1"/>
  <c r="G88" i="1"/>
  <c r="G80" i="1"/>
  <c r="G72" i="1"/>
  <c r="G64" i="1"/>
  <c r="G56" i="1"/>
  <c r="G48" i="1"/>
  <c r="G24" i="1"/>
  <c r="G16" i="1"/>
  <c r="G8" i="1"/>
  <c r="G191" i="1"/>
  <c r="G183" i="1"/>
  <c r="G175" i="1"/>
  <c r="G159" i="1"/>
  <c r="G143" i="1"/>
  <c r="G127" i="1"/>
  <c r="G119" i="1"/>
  <c r="G111" i="1"/>
  <c r="G103" i="1"/>
  <c r="G87" i="1"/>
  <c r="G79" i="1"/>
  <c r="G71" i="1"/>
  <c r="G55" i="1"/>
  <c r="G47" i="1"/>
  <c r="G39" i="1"/>
  <c r="G31" i="1"/>
  <c r="G23" i="1"/>
  <c r="G7" i="1"/>
  <c r="G149" i="1"/>
  <c r="G141" i="1"/>
  <c r="G101" i="1"/>
  <c r="G93" i="1"/>
  <c r="G85" i="1"/>
  <c r="G77" i="1"/>
  <c r="G69" i="1"/>
  <c r="G61" i="1"/>
  <c r="G53" i="1"/>
  <c r="G37" i="1"/>
  <c r="G29" i="1"/>
  <c r="G21" i="1"/>
  <c r="G13" i="1"/>
  <c r="G5" i="1"/>
  <c r="G196" i="1"/>
  <c r="G172" i="1"/>
  <c r="G164" i="1"/>
  <c r="G156" i="1"/>
  <c r="G148" i="1"/>
  <c r="G132" i="1"/>
  <c r="G108" i="1"/>
  <c r="G92" i="1"/>
  <c r="G84" i="1"/>
  <c r="G60" i="1"/>
  <c r="G44" i="1"/>
  <c r="G36" i="1"/>
  <c r="G28" i="1"/>
  <c r="G4" i="1"/>
  <c r="G195" i="1"/>
  <c r="G187" i="1"/>
  <c r="G179" i="1"/>
  <c r="G171" i="1"/>
  <c r="G163" i="1"/>
  <c r="G155" i="1"/>
  <c r="G147" i="1"/>
  <c r="G139" i="1"/>
  <c r="G131" i="1"/>
  <c r="G123" i="1"/>
  <c r="G115" i="1"/>
  <c r="G99" i="1"/>
  <c r="G91" i="1"/>
  <c r="G83" i="1"/>
  <c r="G75" i="1"/>
  <c r="G51" i="1"/>
  <c r="G43" i="1"/>
  <c r="G35" i="1"/>
  <c r="G27" i="1"/>
  <c r="G19" i="1"/>
  <c r="G11" i="1"/>
  <c r="AE129" i="1"/>
  <c r="AE192" i="1"/>
  <c r="AE128" i="1"/>
  <c r="AE64" i="1"/>
  <c r="AE176" i="1"/>
  <c r="AE48" i="1"/>
  <c r="AE161" i="1"/>
  <c r="AE33" i="1"/>
  <c r="AE160" i="1"/>
  <c r="AE96" i="1"/>
  <c r="AE32" i="1"/>
  <c r="AE145" i="1"/>
  <c r="AE81" i="1"/>
  <c r="AE17" i="1"/>
  <c r="AE144" i="1"/>
  <c r="AE80" i="1"/>
  <c r="AE16" i="1"/>
  <c r="AE188" i="1"/>
  <c r="AE172" i="1"/>
  <c r="AE124" i="1"/>
  <c r="AE108" i="1"/>
  <c r="AE76" i="1"/>
  <c r="AE60" i="1"/>
  <c r="AE44" i="1"/>
  <c r="AE12" i="1"/>
  <c r="AE169" i="1"/>
  <c r="AE137" i="1"/>
  <c r="AE121" i="1"/>
  <c r="AE105" i="1"/>
  <c r="AE57" i="1"/>
  <c r="AE41" i="1"/>
  <c r="AE9" i="1"/>
  <c r="AE184" i="1"/>
  <c r="AE168" i="1"/>
  <c r="AE152" i="1"/>
  <c r="AE136" i="1"/>
  <c r="AE120" i="1"/>
  <c r="AE104" i="1"/>
  <c r="AE88" i="1"/>
  <c r="AE72" i="1"/>
  <c r="AE56" i="1"/>
  <c r="AE40" i="1"/>
  <c r="AE24" i="1"/>
  <c r="AE8" i="1"/>
  <c r="AE197" i="1"/>
  <c r="AE181" i="1"/>
  <c r="AE149" i="1"/>
  <c r="AE133" i="1"/>
  <c r="AE85" i="1"/>
  <c r="AE69" i="1"/>
  <c r="AE53" i="1"/>
  <c r="AE37" i="1"/>
  <c r="AE21" i="1"/>
  <c r="AE5" i="1"/>
  <c r="AE196" i="1"/>
  <c r="AE180" i="1"/>
  <c r="AE148" i="1"/>
  <c r="AE132" i="1"/>
  <c r="AE116" i="1"/>
  <c r="AE100" i="1"/>
  <c r="AE68" i="1"/>
  <c r="AE52" i="1"/>
  <c r="AE36" i="1"/>
  <c r="AE20" i="1"/>
  <c r="AE4" i="1"/>
  <c r="C186" i="1"/>
  <c r="C170" i="1"/>
  <c r="C106" i="1"/>
  <c r="C90" i="1"/>
  <c r="C58" i="1"/>
  <c r="C42" i="1"/>
  <c r="AE199" i="1"/>
  <c r="AE183" i="1"/>
  <c r="AE175" i="1"/>
  <c r="AE159" i="1"/>
  <c r="AE151" i="1"/>
  <c r="AE143" i="1"/>
  <c r="AE135" i="1"/>
  <c r="AE119" i="1"/>
  <c r="AE111" i="1"/>
  <c r="AE95" i="1"/>
  <c r="AE87" i="1"/>
  <c r="AE79" i="1"/>
  <c r="AE71" i="1"/>
  <c r="AE55" i="1"/>
  <c r="AE47" i="1"/>
  <c r="AE31" i="1"/>
  <c r="AE23" i="1"/>
  <c r="AE15" i="1"/>
  <c r="AE7" i="1"/>
  <c r="AE198" i="1"/>
  <c r="AE174" i="1"/>
  <c r="AE166" i="1"/>
  <c r="AE158" i="1"/>
  <c r="AE150" i="1"/>
  <c r="AE134" i="1"/>
  <c r="AE102" i="1"/>
  <c r="AE94" i="1"/>
  <c r="AE86" i="1"/>
  <c r="AE78" i="1"/>
  <c r="AE70" i="1"/>
  <c r="AE38" i="1"/>
  <c r="AE30" i="1"/>
  <c r="AE22" i="1"/>
  <c r="AE14" i="1"/>
  <c r="AE6" i="1"/>
  <c r="AE195" i="1"/>
  <c r="AE171" i="1"/>
  <c r="AE155" i="1"/>
  <c r="AE147" i="1"/>
  <c r="AE139" i="1"/>
  <c r="AE131" i="1"/>
  <c r="AE123" i="1"/>
  <c r="AE107" i="1"/>
  <c r="AE91" i="1"/>
  <c r="AE83" i="1"/>
  <c r="AE75" i="1"/>
  <c r="AE67" i="1"/>
  <c r="AE59" i="1"/>
  <c r="AE43" i="1"/>
  <c r="AE35" i="1"/>
  <c r="AE27" i="1"/>
  <c r="AE19" i="1"/>
  <c r="AE11" i="1"/>
  <c r="AE3" i="1"/>
  <c r="C10" i="1"/>
  <c r="C122" i="1"/>
  <c r="AE200" i="1"/>
  <c r="AE140" i="1"/>
  <c r="AE193" i="1"/>
  <c r="G20" i="1"/>
  <c r="G157" i="1"/>
  <c r="G57" i="1"/>
  <c r="H188" i="1"/>
  <c r="H177" i="1"/>
  <c r="H145" i="1"/>
  <c r="H124" i="1"/>
  <c r="H62" i="1"/>
  <c r="C146" i="1"/>
  <c r="AE63" i="1"/>
  <c r="AE127" i="1"/>
  <c r="AE191" i="1"/>
  <c r="AE84" i="1"/>
  <c r="AE165" i="1"/>
  <c r="AE28" i="1"/>
  <c r="AE156" i="1"/>
  <c r="AE112" i="1"/>
  <c r="G100" i="1"/>
  <c r="G189" i="1"/>
  <c r="G135" i="1"/>
  <c r="G199" i="1"/>
  <c r="H146" i="1"/>
  <c r="C177" i="1"/>
  <c r="C113" i="1"/>
  <c r="C101" i="1"/>
  <c r="C49" i="1"/>
  <c r="H160" i="1"/>
  <c r="G9" i="1"/>
  <c r="AE99" i="1"/>
  <c r="AE163" i="1"/>
  <c r="C2" i="1"/>
  <c r="G107" i="1"/>
  <c r="G15" i="1"/>
  <c r="G151" i="1"/>
  <c r="G130" i="1"/>
  <c r="C164" i="1"/>
  <c r="C117" i="1"/>
  <c r="C65" i="1"/>
  <c r="H180" i="1"/>
  <c r="H169" i="1"/>
  <c r="H32" i="1"/>
  <c r="AE173" i="1"/>
  <c r="G52" i="1"/>
  <c r="G95" i="1"/>
  <c r="G73" i="1"/>
  <c r="G118" i="1"/>
  <c r="G162" i="1"/>
  <c r="H96" i="1"/>
  <c r="AC8" i="1"/>
  <c r="AC16" i="1"/>
  <c r="AE179" i="1"/>
  <c r="AE92" i="1"/>
  <c r="G125" i="1"/>
  <c r="G40" i="1"/>
  <c r="G194" i="1"/>
  <c r="G78" i="1"/>
  <c r="AE51" i="1"/>
  <c r="AE115" i="1"/>
  <c r="C74" i="1"/>
  <c r="G167" i="1"/>
  <c r="AE187" i="1"/>
  <c r="AE39" i="1"/>
  <c r="AE103" i="1"/>
  <c r="AE167" i="1"/>
  <c r="G68" i="1"/>
  <c r="H112" i="1"/>
  <c r="H63" i="1"/>
  <c r="AE18" i="1"/>
  <c r="C18" i="1"/>
  <c r="AE13" i="1"/>
  <c r="H117" i="1"/>
  <c r="G117" i="1"/>
  <c r="AE98" i="1"/>
  <c r="C98" i="1"/>
  <c r="AE110" i="1"/>
  <c r="C178" i="1"/>
  <c r="AE153" i="1"/>
  <c r="AE29" i="1"/>
  <c r="H33" i="1"/>
  <c r="G161" i="1"/>
  <c r="C182" i="1"/>
  <c r="AE182" i="1"/>
  <c r="C118" i="1"/>
  <c r="AE118" i="1"/>
  <c r="C54" i="1"/>
  <c r="AE54" i="1"/>
  <c r="H173" i="1"/>
  <c r="H116" i="1"/>
  <c r="H46" i="1"/>
  <c r="H12" i="1"/>
  <c r="G12" i="1"/>
  <c r="G122" i="1"/>
  <c r="H122" i="1"/>
  <c r="C162" i="1"/>
  <c r="H121" i="1"/>
  <c r="G121" i="1"/>
  <c r="H89" i="1"/>
  <c r="G89" i="1"/>
  <c r="H41" i="1"/>
  <c r="G41" i="1"/>
  <c r="C34" i="1"/>
  <c r="AE45" i="1"/>
  <c r="AE46" i="1"/>
  <c r="AE142" i="1"/>
  <c r="C50" i="1"/>
  <c r="AE25" i="1"/>
  <c r="AE185" i="1"/>
  <c r="AE93" i="1"/>
  <c r="G152" i="1"/>
  <c r="G129" i="1"/>
  <c r="G153" i="1"/>
  <c r="AE154" i="1"/>
  <c r="C154" i="1"/>
  <c r="AE138" i="1"/>
  <c r="C138" i="1"/>
  <c r="AE26" i="1"/>
  <c r="C26" i="1"/>
  <c r="H181" i="1"/>
  <c r="H140" i="1"/>
  <c r="H120" i="1"/>
  <c r="H104" i="1"/>
  <c r="H45" i="1"/>
  <c r="C194" i="1"/>
  <c r="C66" i="1"/>
  <c r="AE125" i="1"/>
  <c r="C201" i="1"/>
  <c r="C89" i="1"/>
  <c r="C73" i="1"/>
  <c r="H185" i="1"/>
  <c r="H176" i="1"/>
  <c r="H109" i="1"/>
  <c r="G109" i="1"/>
  <c r="H59" i="1"/>
  <c r="H54" i="1"/>
  <c r="AE114" i="1"/>
  <c r="C114" i="1"/>
  <c r="C82" i="1"/>
  <c r="AE141" i="1"/>
  <c r="G193" i="1"/>
  <c r="G38" i="1"/>
  <c r="C190" i="1"/>
  <c r="AE190" i="1"/>
  <c r="C126" i="1"/>
  <c r="AE126" i="1"/>
  <c r="C62" i="1"/>
  <c r="AE62" i="1"/>
  <c r="H49" i="1"/>
  <c r="G49" i="1"/>
  <c r="C130" i="1"/>
  <c r="AE157" i="1"/>
  <c r="C189" i="1"/>
  <c r="C109" i="1"/>
  <c r="C77" i="1"/>
  <c r="C61" i="1"/>
  <c r="H184" i="1"/>
  <c r="H97" i="1"/>
  <c r="G97" i="1"/>
  <c r="H67" i="1"/>
  <c r="G58" i="1"/>
  <c r="H34" i="1"/>
  <c r="G34" i="1"/>
  <c r="H14" i="1"/>
  <c r="D109" i="17"/>
  <c r="F84" i="17"/>
  <c r="D70" i="17"/>
  <c r="D78" i="17"/>
  <c r="D101" i="17"/>
  <c r="D91" i="17"/>
  <c r="Y152" i="16" l="1"/>
  <c r="Z152" i="16" s="1"/>
  <c r="Y145" i="16"/>
  <c r="Z145" i="16" s="1"/>
  <c r="Y141" i="16"/>
  <c r="Z141" i="16" s="1"/>
  <c r="Y129" i="16"/>
  <c r="Z129" i="16" s="1"/>
  <c r="Y125" i="16"/>
  <c r="Z125" i="16" s="1"/>
  <c r="Y121" i="16"/>
  <c r="Z121" i="16" s="1"/>
  <c r="Y155" i="16"/>
  <c r="Z155" i="16" s="1"/>
  <c r="Y192" i="16"/>
  <c r="Z192" i="16" s="1"/>
  <c r="Y164" i="16"/>
  <c r="Z164" i="16" s="1"/>
  <c r="Y68" i="16"/>
  <c r="Z68" i="16" s="1"/>
  <c r="Y24" i="16"/>
  <c r="Z24" i="16" s="1"/>
  <c r="Y20" i="16"/>
  <c r="Z20" i="16" s="1"/>
  <c r="Y199" i="16"/>
  <c r="Z199" i="16" s="1"/>
  <c r="Y191" i="16"/>
  <c r="Z191" i="16" s="1"/>
  <c r="Y187" i="16"/>
  <c r="Z187" i="16" s="1"/>
  <c r="Y183" i="16"/>
  <c r="Z183" i="16" s="1"/>
  <c r="Y179" i="16"/>
  <c r="Z179" i="16" s="1"/>
  <c r="Y175" i="16"/>
  <c r="Z175" i="16" s="1"/>
  <c r="Y171" i="16"/>
  <c r="Z171" i="16" s="1"/>
  <c r="Y167" i="16"/>
  <c r="Z167" i="16" s="1"/>
  <c r="Y182" i="16"/>
  <c r="Z182" i="16" s="1"/>
  <c r="Y154" i="16"/>
  <c r="Z154" i="16" s="1"/>
  <c r="Y150" i="16"/>
  <c r="Z150" i="16" s="1"/>
  <c r="Y134" i="16"/>
  <c r="Z134" i="16" s="1"/>
  <c r="Y90" i="16"/>
  <c r="Z90" i="16" s="1"/>
  <c r="Y185" i="16"/>
  <c r="Z185" i="16" s="1"/>
  <c r="Y177" i="16"/>
  <c r="Z177" i="16" s="1"/>
  <c r="Y173" i="16"/>
  <c r="Z173" i="16" s="1"/>
  <c r="Y169" i="16"/>
  <c r="Z169" i="16" s="1"/>
  <c r="Y85" i="16"/>
  <c r="Z85" i="16" s="1"/>
  <c r="Y42" i="16"/>
  <c r="Z42" i="16" s="1"/>
  <c r="Y38" i="16"/>
  <c r="Z38" i="16" s="1"/>
  <c r="Y34" i="16"/>
  <c r="Z34" i="16" s="1"/>
  <c r="Y22" i="16"/>
  <c r="Z22" i="16" s="1"/>
  <c r="Y18" i="16"/>
  <c r="Z18" i="16" s="1"/>
  <c r="Y168" i="16"/>
  <c r="Z168" i="16" s="1"/>
  <c r="Y77" i="16"/>
  <c r="Z77" i="16" s="1"/>
  <c r="Y57" i="16"/>
  <c r="Z57" i="16" s="1"/>
  <c r="Y13" i="16"/>
  <c r="Z13" i="16" s="1"/>
  <c r="Y9" i="16"/>
  <c r="Z9" i="16" s="1"/>
  <c r="Y5" i="16"/>
  <c r="Z5" i="16" s="1"/>
  <c r="Y132" i="16"/>
  <c r="Z132" i="16" s="1"/>
  <c r="Y128" i="16"/>
  <c r="Z128" i="16" s="1"/>
  <c r="Y120" i="16"/>
  <c r="Z120" i="16" s="1"/>
  <c r="Y116" i="16"/>
  <c r="Z116" i="16" s="1"/>
  <c r="Y112" i="16"/>
  <c r="Z112" i="16" s="1"/>
  <c r="Y104" i="16"/>
  <c r="Z104" i="16" s="1"/>
  <c r="Y100" i="16"/>
  <c r="Z100" i="16" s="1"/>
  <c r="Y48" i="16"/>
  <c r="Z48" i="16" s="1"/>
  <c r="Y194" i="16"/>
  <c r="Z194" i="16" s="1"/>
  <c r="Y151" i="16"/>
  <c r="Z151" i="16" s="1"/>
  <c r="Y143" i="16"/>
  <c r="Z143" i="16" s="1"/>
  <c r="Y139" i="16"/>
  <c r="Z139" i="16" s="1"/>
  <c r="Y135" i="16"/>
  <c r="Z135" i="16" s="1"/>
  <c r="Y127" i="16"/>
  <c r="Z127" i="16" s="1"/>
  <c r="Y123" i="16"/>
  <c r="Z123" i="16" s="1"/>
  <c r="Y103" i="16"/>
  <c r="Z103" i="16" s="1"/>
  <c r="Y99" i="16"/>
  <c r="Z99" i="16" s="1"/>
  <c r="Y95" i="16"/>
  <c r="Z95" i="16" s="1"/>
  <c r="Y126" i="16"/>
  <c r="Z126" i="16" s="1"/>
  <c r="Y15" i="16"/>
  <c r="Z15" i="16" s="1"/>
  <c r="Y197" i="16"/>
  <c r="Z197" i="16" s="1"/>
  <c r="Y193" i="16"/>
  <c r="Z193" i="16" s="1"/>
  <c r="Y88" i="16"/>
  <c r="Z88" i="16" s="1"/>
  <c r="Y84" i="16"/>
  <c r="Z84" i="16" s="1"/>
  <c r="Y80" i="16"/>
  <c r="Z80" i="16" s="1"/>
  <c r="Y53" i="16"/>
  <c r="Z53" i="16" s="1"/>
  <c r="Y49" i="16"/>
  <c r="Z49" i="16" s="1"/>
  <c r="Y45" i="16"/>
  <c r="Z45" i="16" s="1"/>
  <c r="Y33" i="16"/>
  <c r="Z33" i="16" s="1"/>
  <c r="Y29" i="16"/>
  <c r="Z29" i="16" s="1"/>
  <c r="Y25" i="16"/>
  <c r="Z25" i="16" s="1"/>
  <c r="Y60" i="16"/>
  <c r="Z60" i="16" s="1"/>
  <c r="Y184" i="16"/>
  <c r="Z184" i="16" s="1"/>
  <c r="Y142" i="16"/>
  <c r="Z142" i="16" s="1"/>
  <c r="Y91" i="16"/>
  <c r="Z91" i="16" s="1"/>
  <c r="Y44" i="16"/>
  <c r="Z44" i="16" s="1"/>
  <c r="Y40" i="16"/>
  <c r="Z40" i="16" s="1"/>
  <c r="Y118" i="16"/>
  <c r="Z118" i="16" s="1"/>
  <c r="Y114" i="16"/>
  <c r="Z114" i="16" s="1"/>
  <c r="Y106" i="16"/>
  <c r="Z106" i="16" s="1"/>
  <c r="Y102" i="16"/>
  <c r="Z102" i="16" s="1"/>
  <c r="Y94" i="16"/>
  <c r="Z94" i="16" s="1"/>
  <c r="Y39" i="16"/>
  <c r="Z39" i="16" s="1"/>
  <c r="Y195" i="16"/>
  <c r="Z195" i="16" s="1"/>
  <c r="Y157" i="16"/>
  <c r="Z157" i="16" s="1"/>
  <c r="Y133" i="16"/>
  <c r="Z133" i="16" s="1"/>
  <c r="Y86" i="16"/>
  <c r="Z86" i="16" s="1"/>
  <c r="Y78" i="16"/>
  <c r="Z78" i="16" s="1"/>
  <c r="Y31" i="16"/>
  <c r="Z31" i="16" s="1"/>
  <c r="Y23" i="16"/>
  <c r="Z23" i="16" s="1"/>
  <c r="Y70" i="16"/>
  <c r="Z70" i="16" s="1"/>
  <c r="Y66" i="16"/>
  <c r="Z66" i="16" s="1"/>
  <c r="Y58" i="16"/>
  <c r="Z58" i="16" s="1"/>
  <c r="Y54" i="16"/>
  <c r="Z54" i="16" s="1"/>
  <c r="Y160" i="16"/>
  <c r="Z160" i="16" s="1"/>
  <c r="Y156" i="16"/>
  <c r="Z156" i="16" s="1"/>
  <c r="Y93" i="16"/>
  <c r="Z93" i="16" s="1"/>
  <c r="Y2" i="16"/>
  <c r="Z2" i="16" s="1"/>
  <c r="Y189" i="16"/>
  <c r="Z189" i="16" s="1"/>
  <c r="Y149" i="16"/>
  <c r="Z149" i="16" s="1"/>
  <c r="Y109" i="16"/>
  <c r="Z109" i="16" s="1"/>
  <c r="Y105" i="16"/>
  <c r="Z105" i="16" s="1"/>
  <c r="Y87" i="16"/>
  <c r="Z87" i="16" s="1"/>
  <c r="Y61" i="16"/>
  <c r="Z61" i="16" s="1"/>
  <c r="Y50" i="16"/>
  <c r="Z50" i="16" s="1"/>
  <c r="Y46" i="16"/>
  <c r="Z46" i="16" s="1"/>
  <c r="Y35" i="16"/>
  <c r="Z35" i="16" s="1"/>
  <c r="Y17" i="16"/>
  <c r="Z17" i="16" s="1"/>
  <c r="Y10" i="16"/>
  <c r="Z10" i="16" s="1"/>
  <c r="Y6" i="16"/>
  <c r="Z6" i="16" s="1"/>
  <c r="Y16" i="16"/>
  <c r="Z16" i="16" s="1"/>
  <c r="Y201" i="16"/>
  <c r="Z201" i="16" s="1"/>
  <c r="Y181" i="16"/>
  <c r="Z181" i="16" s="1"/>
  <c r="Y170" i="16"/>
  <c r="Z170" i="16" s="1"/>
  <c r="Y163" i="16"/>
  <c r="Z163" i="16" s="1"/>
  <c r="Y159" i="16"/>
  <c r="Z159" i="16" s="1"/>
  <c r="Y148" i="16"/>
  <c r="Z148" i="16" s="1"/>
  <c r="Y144" i="16"/>
  <c r="Z144" i="16" s="1"/>
  <c r="Y130" i="16"/>
  <c r="Z130" i="16" s="1"/>
  <c r="Y119" i="16"/>
  <c r="Z119" i="16" s="1"/>
  <c r="Y115" i="16"/>
  <c r="Z115" i="16" s="1"/>
  <c r="Y56" i="16"/>
  <c r="Z56" i="16" s="1"/>
  <c r="Y26" i="16"/>
  <c r="Z26" i="16" s="1"/>
  <c r="Y200" i="16"/>
  <c r="Z200" i="16" s="1"/>
  <c r="Y166" i="16"/>
  <c r="Z166" i="16" s="1"/>
  <c r="Y158" i="16"/>
  <c r="Z158" i="16" s="1"/>
  <c r="Y136" i="16"/>
  <c r="Z136" i="16" s="1"/>
  <c r="Y111" i="16"/>
  <c r="Z111" i="16" s="1"/>
  <c r="Y107" i="16"/>
  <c r="Z107" i="16" s="1"/>
  <c r="Y96" i="16"/>
  <c r="Z96" i="16" s="1"/>
  <c r="Y92" i="16"/>
  <c r="Z92" i="16" s="1"/>
  <c r="Y81" i="16"/>
  <c r="Z81" i="16" s="1"/>
  <c r="Y63" i="16"/>
  <c r="Z63" i="16" s="1"/>
  <c r="Y59" i="16"/>
  <c r="Z59" i="16" s="1"/>
  <c r="Y41" i="16"/>
  <c r="Z41" i="16" s="1"/>
  <c r="Y19" i="16"/>
  <c r="Z19" i="16" s="1"/>
  <c r="Y8" i="16"/>
  <c r="Z8" i="16" s="1"/>
  <c r="Y4" i="16"/>
  <c r="Z4" i="16" s="1"/>
  <c r="Y7" i="16"/>
  <c r="Z7" i="16" s="1"/>
  <c r="Y186" i="16"/>
  <c r="Z186" i="16" s="1"/>
  <c r="Y117" i="16"/>
  <c r="Z117" i="16" s="1"/>
  <c r="Y72" i="16"/>
  <c r="Z72" i="16" s="1"/>
  <c r="Y69" i="16"/>
  <c r="Z69" i="16" s="1"/>
  <c r="Y32" i="16"/>
  <c r="Z32" i="16" s="1"/>
  <c r="Y11" i="16"/>
  <c r="Z11" i="16" s="1"/>
  <c r="Y97" i="16"/>
  <c r="Z97" i="16" s="1"/>
  <c r="Y82" i="16"/>
  <c r="Z82" i="16" s="1"/>
  <c r="Y21" i="16"/>
  <c r="Z21" i="16" s="1"/>
  <c r="Y196" i="16"/>
  <c r="Z196" i="16" s="1"/>
  <c r="Y188" i="16"/>
  <c r="Z188" i="16" s="1"/>
  <c r="Y180" i="16"/>
  <c r="Z180" i="16" s="1"/>
  <c r="Y140" i="16"/>
  <c r="Z140" i="16" s="1"/>
  <c r="Y76" i="16"/>
  <c r="Z76" i="16" s="1"/>
  <c r="Y30" i="16"/>
  <c r="Z30" i="16" s="1"/>
  <c r="Y146" i="16"/>
  <c r="Z146" i="16" s="1"/>
  <c r="Y122" i="16"/>
  <c r="Z122" i="16" s="1"/>
  <c r="Y73" i="16"/>
  <c r="Z73" i="16" s="1"/>
  <c r="Y51" i="16"/>
  <c r="Z51" i="16" s="1"/>
  <c r="Y27" i="16"/>
  <c r="Z27" i="16" s="1"/>
  <c r="Y198" i="16"/>
  <c r="Z198" i="16" s="1"/>
  <c r="Y190" i="16"/>
  <c r="Z190" i="16" s="1"/>
  <c r="Y176" i="16"/>
  <c r="Z176" i="16" s="1"/>
  <c r="Y124" i="16"/>
  <c r="Z124" i="16" s="1"/>
  <c r="Y14" i="16"/>
  <c r="Z14" i="16" s="1"/>
  <c r="Y174" i="16"/>
  <c r="Z174" i="16" s="1"/>
  <c r="Y131" i="16"/>
  <c r="Z131" i="16" s="1"/>
  <c r="Y12" i="16"/>
  <c r="Z12" i="16" s="1"/>
  <c r="Y172" i="16"/>
  <c r="Z172" i="16" s="1"/>
  <c r="Y108" i="16"/>
  <c r="Z108" i="16" s="1"/>
  <c r="Y65" i="16"/>
  <c r="Z65" i="16" s="1"/>
  <c r="Y62" i="16"/>
  <c r="Z62" i="16" s="1"/>
  <c r="Y161" i="16"/>
  <c r="Z161" i="16" s="1"/>
  <c r="Y137" i="16"/>
  <c r="Z137" i="16" s="1"/>
  <c r="Y67" i="16"/>
  <c r="Z67" i="16" s="1"/>
  <c r="Y36" i="16"/>
  <c r="Z36" i="16" s="1"/>
  <c r="Y178" i="16"/>
  <c r="Z178" i="16" s="1"/>
  <c r="Y165" i="16"/>
  <c r="Z165" i="16" s="1"/>
  <c r="Y162" i="16"/>
  <c r="Z162" i="16" s="1"/>
  <c r="Y153" i="16"/>
  <c r="Z153" i="16" s="1"/>
  <c r="Y147" i="16"/>
  <c r="Z147" i="16" s="1"/>
  <c r="Y138" i="16"/>
  <c r="Z138" i="16" s="1"/>
  <c r="Y113" i="16"/>
  <c r="Z113" i="16" s="1"/>
  <c r="Y110" i="16"/>
  <c r="Z110" i="16" s="1"/>
  <c r="Y101" i="16"/>
  <c r="Z101" i="16" s="1"/>
  <c r="Y98" i="16"/>
  <c r="Z98" i="16" s="1"/>
  <c r="Y89" i="16"/>
  <c r="Z89" i="16" s="1"/>
  <c r="Y83" i="16"/>
  <c r="Z83" i="16" s="1"/>
  <c r="Y74" i="16"/>
  <c r="Z74" i="16" s="1"/>
  <c r="Y64" i="16"/>
  <c r="Z64" i="16" s="1"/>
  <c r="Y55" i="16"/>
  <c r="Z55" i="16" s="1"/>
  <c r="Y52" i="16"/>
  <c r="Z52" i="16" s="1"/>
  <c r="Y43" i="16"/>
  <c r="Z43" i="16" s="1"/>
  <c r="Y37" i="16"/>
  <c r="Z37" i="16" s="1"/>
  <c r="Y28" i="16"/>
  <c r="Z28" i="16" s="1"/>
  <c r="Y3" i="16"/>
  <c r="Z3"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Olanrewaju Oyenekan</author>
  </authors>
  <commentList>
    <comment ref="AC24" authorId="0" shapeId="0" xr:uid="{57983466-A035-4DDE-8C24-82427242163C}">
      <text>
        <r>
          <rPr>
            <b/>
            <sz val="9"/>
            <color indexed="81"/>
            <rFont val="Tahoma"/>
            <family val="2"/>
          </rPr>
          <t>Olanrewaju Oyenekan:</t>
        </r>
        <r>
          <rPr>
            <sz val="9"/>
            <color indexed="81"/>
            <rFont val="Tahoma"/>
            <family val="2"/>
          </rPr>
          <t xml:space="preserve">
This is the unique customers without the unregistered(No Acct) customers</t>
        </r>
      </text>
    </comment>
    <comment ref="AC26" authorId="0" shapeId="0" xr:uid="{E41FAA51-27A0-4705-8C8C-7736F273C1A1}">
      <text>
        <r>
          <rPr>
            <b/>
            <sz val="9"/>
            <color indexed="81"/>
            <rFont val="Tahoma"/>
            <family val="2"/>
          </rPr>
          <t>Olanrewaju Oyenekan:</t>
        </r>
        <r>
          <rPr>
            <sz val="9"/>
            <color indexed="81"/>
            <rFont val="Tahoma"/>
            <family val="2"/>
          </rPr>
          <t xml:space="preserve">
This is the unique customers and the unregistered customers treated as 1 value</t>
        </r>
      </text>
    </comment>
    <comment ref="AC28" authorId="0" shapeId="0" xr:uid="{2FFC31FE-48A4-4636-B0F3-4ECDBF489951}">
      <text>
        <r>
          <rPr>
            <b/>
            <sz val="9"/>
            <color indexed="81"/>
            <rFont val="Tahoma"/>
            <family val="2"/>
          </rPr>
          <t>Olanrewaju Oyenekan:</t>
        </r>
        <r>
          <rPr>
            <sz val="9"/>
            <color indexed="81"/>
            <rFont val="Tahoma"/>
            <family val="2"/>
          </rPr>
          <t xml:space="preserve">
Total number of unregistered customers (No Acct)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Olanrewaju Oyenekan</author>
  </authors>
  <commentList>
    <comment ref="AD24" authorId="0" shapeId="0" xr:uid="{1FD05D84-F256-442D-A6F0-0373A8D7ACD0}">
      <text>
        <r>
          <rPr>
            <b/>
            <sz val="9"/>
            <color indexed="81"/>
            <rFont val="Tahoma"/>
            <family val="2"/>
          </rPr>
          <t>Olanrewaju Oyenekan:</t>
        </r>
        <r>
          <rPr>
            <sz val="9"/>
            <color indexed="81"/>
            <rFont val="Tahoma"/>
            <family val="2"/>
          </rPr>
          <t xml:space="preserve">
This is the unique customers without the unregistered(No Acct) customers</t>
        </r>
      </text>
    </comment>
    <comment ref="AD26" authorId="0" shapeId="0" xr:uid="{E6E0FCA6-3E0B-4692-A896-D561FB9C95B7}">
      <text>
        <r>
          <rPr>
            <b/>
            <sz val="9"/>
            <color indexed="81"/>
            <rFont val="Tahoma"/>
            <family val="2"/>
          </rPr>
          <t>Olanrewaju Oyenekan:</t>
        </r>
        <r>
          <rPr>
            <sz val="9"/>
            <color indexed="81"/>
            <rFont val="Tahoma"/>
            <family val="2"/>
          </rPr>
          <t xml:space="preserve">
This is the unique customers and the unregistered customers treated as 1 value</t>
        </r>
      </text>
    </comment>
    <comment ref="AD28" authorId="0" shapeId="0" xr:uid="{B6CFC748-0DDF-4728-8C9E-DDD3A780E803}">
      <text>
        <r>
          <rPr>
            <b/>
            <sz val="9"/>
            <color indexed="81"/>
            <rFont val="Tahoma"/>
            <family val="2"/>
          </rPr>
          <t>Olanrewaju Oyenekan:</t>
        </r>
        <r>
          <rPr>
            <sz val="9"/>
            <color indexed="81"/>
            <rFont val="Tahoma"/>
            <family val="2"/>
          </rPr>
          <t xml:space="preserve">
Total number of unregistered customers (No Acct)</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5789D2-1FAA-498F-B0E1-CFA9725D36F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1CD06DB-FCA2-4C2C-B1D9-A5357D0162C5}" name="WorksheetConnection_clean_sales_2!$A$1:$Z$201" type="102" refreshedVersion="8" minRefreshableVersion="5">
    <extLst>
      <ext xmlns:x15="http://schemas.microsoft.com/office/spreadsheetml/2010/11/main" uri="{DE250136-89BD-433C-8126-D09CA5730AF9}">
        <x15:connection id="Range" autoDelete="1">
          <x15:rangePr sourceName="_xlcn.WorksheetConnection_clean_sales_2A1Z201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Range].[Customer_ID].&amp;[CUST1000],[Range].[Customer_ID].&amp;[CUST1001],[Range].[Customer_ID].&amp;[CUST1003],[Range].[Customer_ID].&amp;[CUST1004],[Range].[Customer_ID].&amp;[CUST1005],[Range].[Customer_ID].&amp;[CUST1006],[Range].[Customer_ID].&amp;[CUST1007],[Range].[Customer_ID].&amp;[CUST1008],[Range].[Customer_ID].&amp;[CUST1009],[Range].[Customer_ID].&amp;[CUST1010],[Range].[Customer_ID].&amp;[CUST1011],[Range].[Customer_ID].&amp;[CUST1012],[Range].[Customer_ID].&amp;[CUST1014],[Range].[Customer_ID].&amp;[CUST1015],[Range].[Customer_ID].&amp;[CUST1016],[Range].[Customer_ID].&amp;[CUST1017],[Range].[Customer_ID].&amp;[CUST1018],[Range].[Customer_ID].&amp;[CUST1020],[Range].[Customer_ID].&amp;[CUST1021],[Range].[Customer_ID].&amp;[CUST1022],[Range].[Customer_ID].&amp;[CUST1023],[Range].[Customer_ID].&amp;[CUST1024],[Range].[Customer_ID].&amp;[CUST1026],[Range].[Customer_ID].&amp;[CUST1027],[Range].[Customer_ID].&amp;[CUST1028],[Range].[Customer_ID].&amp;[CUST1030],[Range].[Customer_ID].&amp;[CUST1031],[Range].[Customer_ID].&amp;[CUST1032],[Range].[Customer_ID].&amp;[CUST1033],[Range].[Customer_ID].&amp;[CUST1034],[Range].[Customer_ID].&amp;[CUST1035],[Range].[Customer_ID].&amp;[CUST1036],[Range].[Customer_ID].&amp;[CUST1037],[Range].[Customer_ID].&amp;[CUST1038],[Range].[Customer_ID].&amp;[CUST1040],[Range].[Customer_ID].&amp;[CUST1041],[Range].[Customer_ID].&amp;[CUST1042],[Range].[Customer_ID].&amp;[CUST1043],[Range].[Customer_ID].&amp;[CUST1045],[Range].[Customer_ID].&amp;[CUST1046],[Range].[Customer_ID].&amp;[CUST1047],[Range].[Customer_ID].&amp;[CUST1048],[Range].[Customer_ID].&amp;[CUST1049],[Range].[Customer_ID].&amp;[CUST1050],[Range].[Customer_ID].&amp;[CUST1052],[Range].[Customer_ID].&amp;[CUST1053],[Range].[Customer_ID].&amp;[CUST1054],[Range].[Customer_ID].&amp;[CUST1056],[Range].[Customer_ID].&amp;[CUST1057],[Range].[Customer_ID].&amp;[CUST1058],[Range].[Customer_ID].&amp;[CUST1059],[Range].[Customer_ID].&amp;[CUST1060],[Range].[Customer_ID].&amp;[CUST1061],[Range].[Customer_ID].&amp;[CUST1062],[Range].[Customer_ID].&amp;[CUST1063],[Range].[Customer_ID].&amp;[CUST1064],[Range].[Customer_ID].&amp;[CUST1066],[Range].[Customer_ID].&amp;[CUST1067],[Range].[Customer_ID].&amp;[CUST1069],[Range].[Customer_ID].&amp;[CUST1070],[Range].[Customer_ID].&amp;[CUST1071],[Range].[Customer_ID].&amp;[CUST1072],[Range].[Customer_ID].&amp;[CUST1073],[Range].[Customer_ID].&amp;[CUST1074],[Range].[Customer_ID].&amp;[CUST1075],[Range].[Customer_ID].&amp;[CUST1076],[Range].[Customer_ID].&amp;[CUST1077],[Range].[Customer_ID].&amp;[CUST1078],[Range].[Customer_ID].&amp;[CUST1080],[Range].[Customer_ID].&amp;[CUST1081],[Range].[Customer_ID].&amp;[CUST1082],[Range].[Customer_ID].&amp;[CUST1083],[Range].[Customer_ID].&amp;[CUST1084],[Range].[Customer_ID].&amp;[CUST1085],[Range].[Customer_ID].&amp;[CUST1086],[Range].[Customer_ID].&amp;[CUST1087],[Range].[Customer_ID].&amp;[CUST1088],[Range].[Customer_ID].&amp;[CUST1089],[Range].[Customer_ID].&amp;[CUST1090],[Range].[Customer_ID].&amp;[CUST1091],[Range].[Customer_ID].&amp;[CUST1092],[Range].[Customer_ID].&amp;[CUST1094],[Range].[Customer_ID].&amp;[CUST1095],[Range].[Customer_ID].&amp;[CUST1096],[Range].[Customer_ID].&amp;[CUST1097],[Range].[Customer_ID].&amp;[CUST1098],[Range].[Customer_ID].&amp;[CUST1099]}"/>
  </metadataStrings>
  <mdxMetadata count="1">
    <mdx n="0" f="s">
      <ms ns="1" c="0"/>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<sst xmlns="http://schemas.openxmlformats.org/spreadsheetml/2006/main" count="6587" uniqueCount="1096">
  <si>
    <t>Order_ID</t>
  </si>
  <si>
    <t>Order_Date</t>
  </si>
  <si>
    <t>Customer_ID</t>
  </si>
  <si>
    <t>Customer_Name</t>
  </si>
  <si>
    <t>Region</t>
  </si>
  <si>
    <t>City</t>
  </si>
  <si>
    <t>Product_Category</t>
  </si>
  <si>
    <t>Product_Name</t>
  </si>
  <si>
    <t>Quantity</t>
  </si>
  <si>
    <t>Unit_Price</t>
  </si>
  <si>
    <t>Discount</t>
  </si>
  <si>
    <t>Cost_Per_Unit</t>
  </si>
  <si>
    <t>Payment_Method</t>
  </si>
  <si>
    <t>Order_Status</t>
  </si>
  <si>
    <t>ORD1001</t>
  </si>
  <si>
    <t>14/01/2025</t>
  </si>
  <si>
    <t>Pamela Hanson</t>
  </si>
  <si>
    <t>West</t>
  </si>
  <si>
    <t>London</t>
  </si>
  <si>
    <t>Technology</t>
  </si>
  <si>
    <t>Laptop</t>
  </si>
  <si>
    <t>5%</t>
  </si>
  <si>
    <t>Cash</t>
  </si>
  <si>
    <t>Completed</t>
  </si>
  <si>
    <t>ORD1002</t>
  </si>
  <si>
    <t>01-01-2025</t>
  </si>
  <si>
    <t>CUST1089</t>
  </si>
  <si>
    <t>Jacob Garrett</t>
  </si>
  <si>
    <t>Office Supplies</t>
  </si>
  <si>
    <t>Paper</t>
  </si>
  <si>
    <t>ORD1003</t>
  </si>
  <si>
    <t>13/07/2024</t>
  </si>
  <si>
    <t>CUST1048</t>
  </si>
  <si>
    <t>Donald Yang</t>
  </si>
  <si>
    <t>Bristol</t>
  </si>
  <si>
    <t>Bank Transfer</t>
  </si>
  <si>
    <t>ORD1004</t>
  </si>
  <si>
    <t>04/12/2024</t>
  </si>
  <si>
    <t>CUST1081</t>
  </si>
  <si>
    <t>Sherri Evans</t>
  </si>
  <si>
    <t>North</t>
  </si>
  <si>
    <t>Manchester</t>
  </si>
  <si>
    <t>10%</t>
  </si>
  <si>
    <t>ORD1005</t>
  </si>
  <si>
    <t>11-07-2024</t>
  </si>
  <si>
    <t>CUST1028</t>
  </si>
  <si>
    <t>Sophia Schaefer</t>
  </si>
  <si>
    <t>East</t>
  </si>
  <si>
    <t>Tech</t>
  </si>
  <si>
    <t>Card</t>
  </si>
  <si>
    <t>ORD1006</t>
  </si>
  <si>
    <t>03/02/2024</t>
  </si>
  <si>
    <t>CUST1058</t>
  </si>
  <si>
    <t>Ashley Hicks</t>
  </si>
  <si>
    <t>Furniture</t>
  </si>
  <si>
    <t>Chair</t>
  </si>
  <si>
    <t>Cancelled</t>
  </si>
  <si>
    <t>ORD1007</t>
  </si>
  <si>
    <t>04/07/2024</t>
  </si>
  <si>
    <t>CUST1020</t>
  </si>
  <si>
    <t>Jennifer Smith</t>
  </si>
  <si>
    <t>east</t>
  </si>
  <si>
    <t>Leeds</t>
  </si>
  <si>
    <t>Pen</t>
  </si>
  <si>
    <t>ORD1008</t>
  </si>
  <si>
    <t>08-27-2024</t>
  </si>
  <si>
    <t>CUST1098</t>
  </si>
  <si>
    <t>Leah Smith</t>
  </si>
  <si>
    <t>Cabinet</t>
  </si>
  <si>
    <t>PayPal</t>
  </si>
  <si>
    <t>ORD1009</t>
  </si>
  <si>
    <t>05-03-2025</t>
  </si>
  <si>
    <t>CUST1064</t>
  </si>
  <si>
    <t>Candice Huang</t>
  </si>
  <si>
    <t>Desk</t>
  </si>
  <si>
    <t>ORD1010</t>
  </si>
  <si>
    <t>07/09/2024</t>
  </si>
  <si>
    <t>CUST1072</t>
  </si>
  <si>
    <t>Mary Rhodes</t>
  </si>
  <si>
    <t>ORD1011</t>
  </si>
  <si>
    <t>03-06-2024</t>
  </si>
  <si>
    <t>CUST1096</t>
  </si>
  <si>
    <t>Anthony Miller</t>
  </si>
  <si>
    <t>South</t>
  </si>
  <si>
    <t>ORD1012</t>
  </si>
  <si>
    <t>2025-04-05</t>
  </si>
  <si>
    <t>CUST1009</t>
  </si>
  <si>
    <t>Matthew Harris</t>
  </si>
  <si>
    <t>Mouse</t>
  </si>
  <si>
    <t>ORD1013</t>
  </si>
  <si>
    <t>20/09/2024</t>
  </si>
  <si>
    <t>CUST1060</t>
  </si>
  <si>
    <t>Claire Rodriguez</t>
  </si>
  <si>
    <t>NORTH</t>
  </si>
  <si>
    <t>Birmingham</t>
  </si>
  <si>
    <t>ORD1014</t>
  </si>
  <si>
    <t>2024-06-30</t>
  </si>
  <si>
    <t>CUST1043</t>
  </si>
  <si>
    <t>Aaron Smith</t>
  </si>
  <si>
    <t>ORD1015</t>
  </si>
  <si>
    <t>2024-03-12</t>
  </si>
  <si>
    <t>CUST1006</t>
  </si>
  <si>
    <t>Kathy Smith</t>
  </si>
  <si>
    <t>Norwich</t>
  </si>
  <si>
    <t>ORD1016</t>
  </si>
  <si>
    <t>03/09/2024</t>
  </si>
  <si>
    <t>CUST1036</t>
  </si>
  <si>
    <t>Victor Thomas</t>
  </si>
  <si>
    <t>ORD1017</t>
  </si>
  <si>
    <t>2024-10-23</t>
  </si>
  <si>
    <t>CUST1007</t>
  </si>
  <si>
    <t>Theresa Carlson</t>
  </si>
  <si>
    <t>technology</t>
  </si>
  <si>
    <t>ORD1018</t>
  </si>
  <si>
    <t>03-02-2024</t>
  </si>
  <si>
    <t>CUST1040</t>
  </si>
  <si>
    <t>Rachel Collins</t>
  </si>
  <si>
    <t>ORD1019</t>
  </si>
  <si>
    <t>2024-03-08</t>
  </si>
  <si>
    <t>CUST1012</t>
  </si>
  <si>
    <t>Brandon Ingram</t>
  </si>
  <si>
    <t>ORD1020</t>
  </si>
  <si>
    <t>26/03/2025</t>
  </si>
  <si>
    <t>Brian Schultz</t>
  </si>
  <si>
    <t>ORD1021</t>
  </si>
  <si>
    <t>31/03/2025</t>
  </si>
  <si>
    <t>Alicia Johnson</t>
  </si>
  <si>
    <t>ORD1022</t>
  </si>
  <si>
    <t>23/01/2024</t>
  </si>
  <si>
    <t>CUST1054</t>
  </si>
  <si>
    <t>Brittney Smith</t>
  </si>
  <si>
    <t>ORD1023</t>
  </si>
  <si>
    <t>08/08/2024</t>
  </si>
  <si>
    <t>CUST1026</t>
  </si>
  <si>
    <t>Andrew Burgess</t>
  </si>
  <si>
    <t>Monitor</t>
  </si>
  <si>
    <t>ORD1024</t>
  </si>
  <si>
    <t>2025-05-14</t>
  </si>
  <si>
    <t>CUST1094</t>
  </si>
  <si>
    <t>Mary Lewis</t>
  </si>
  <si>
    <t>ORD1025</t>
  </si>
  <si>
    <t>23/04/2024</t>
  </si>
  <si>
    <t>CUST1084</t>
  </si>
  <si>
    <t>Adam Rowland</t>
  </si>
  <si>
    <t xml:space="preserve"> Midlands </t>
  </si>
  <si>
    <t>ORD1026</t>
  </si>
  <si>
    <t>12-13-2024</t>
  </si>
  <si>
    <t>CUST1004</t>
  </si>
  <si>
    <t>Daniel Martinez</t>
  </si>
  <si>
    <t>ORD1027</t>
  </si>
  <si>
    <t>02-29-2024</t>
  </si>
  <si>
    <t>CUST1092</t>
  </si>
  <si>
    <t>Cassandra Mcknight</t>
  </si>
  <si>
    <t>Stapler</t>
  </si>
  <si>
    <t>ORD1028</t>
  </si>
  <si>
    <t>12-05-2024</t>
  </si>
  <si>
    <t>CUST1016</t>
  </si>
  <si>
    <t>Jeremy Brown</t>
  </si>
  <si>
    <t>Keyboard</t>
  </si>
  <si>
    <t>ORD1029</t>
  </si>
  <si>
    <t>02/03/2025</t>
  </si>
  <si>
    <t>CUST1056</t>
  </si>
  <si>
    <t>James Byrd</t>
  </si>
  <si>
    <t>ORD1030</t>
  </si>
  <si>
    <t>02-17-2024</t>
  </si>
  <si>
    <t>CUST1078</t>
  </si>
  <si>
    <t>Aaron Jones</t>
  </si>
  <si>
    <t>ORD1031</t>
  </si>
  <si>
    <t>23/07/2024</t>
  </si>
  <si>
    <t>Martin Johnson</t>
  </si>
  <si>
    <t>ORD1032</t>
  </si>
  <si>
    <t>02-14-2025</t>
  </si>
  <si>
    <t>Dorothy English</t>
  </si>
  <si>
    <t>ORD1033</t>
  </si>
  <si>
    <t>03-06-2025</t>
  </si>
  <si>
    <t>CUST1034</t>
  </si>
  <si>
    <t>Judy Mendoza</t>
  </si>
  <si>
    <t>ORD1034</t>
  </si>
  <si>
    <t>2024-03-19</t>
  </si>
  <si>
    <t>Mark Jordan</t>
  </si>
  <si>
    <t>ORD1035</t>
  </si>
  <si>
    <t>06-01-2024</t>
  </si>
  <si>
    <t>CUST1062</t>
  </si>
  <si>
    <t>Jonathan Turner</t>
  </si>
  <si>
    <t>ORD1036</t>
  </si>
  <si>
    <t>05/01/2025</t>
  </si>
  <si>
    <t>Oscar Meyers</t>
  </si>
  <si>
    <t>ORD1037</t>
  </si>
  <si>
    <t>26/01/2024</t>
  </si>
  <si>
    <t>CUST1032</t>
  </si>
  <si>
    <t>Jesse Collins</t>
  </si>
  <si>
    <t>ORD1038</t>
  </si>
  <si>
    <t>2025-02-03</t>
  </si>
  <si>
    <t>Anthony Sanchez</t>
  </si>
  <si>
    <t>ORD1039</t>
  </si>
  <si>
    <t>02-02-2025</t>
  </si>
  <si>
    <t>CUST1050</t>
  </si>
  <si>
    <t>Elizabeth Wolfe</t>
  </si>
  <si>
    <t>ORD1040</t>
  </si>
  <si>
    <t>02-11-2025</t>
  </si>
  <si>
    <t>CUST1053</t>
  </si>
  <si>
    <t>Tammy Tucker</t>
  </si>
  <si>
    <t>ORD1041</t>
  </si>
  <si>
    <t>03-31-2024</t>
  </si>
  <si>
    <t>CUST1075</t>
  </si>
  <si>
    <t>Michelle Woodard</t>
  </si>
  <si>
    <t>ORD1042</t>
  </si>
  <si>
    <t>2024-10-18</t>
  </si>
  <si>
    <t>Michele Mullins</t>
  </si>
  <si>
    <t>ORD1043</t>
  </si>
  <si>
    <t>01-03-2025</t>
  </si>
  <si>
    <t>CUST1037</t>
  </si>
  <si>
    <t>Chase Murray</t>
  </si>
  <si>
    <t>ORD1044</t>
  </si>
  <si>
    <t>06-25-2024</t>
  </si>
  <si>
    <t>CUST1024</t>
  </si>
  <si>
    <t>Jonathan Lynn</t>
  </si>
  <si>
    <t>ORD1045</t>
  </si>
  <si>
    <t>2024-02-21</t>
  </si>
  <si>
    <t>CUST1070</t>
  </si>
  <si>
    <t>Kaitlin Gray</t>
  </si>
  <si>
    <t>ORD1046</t>
  </si>
  <si>
    <t>2024-08-28</t>
  </si>
  <si>
    <t>Jennifer Munoz</t>
  </si>
  <si>
    <t>ORD1047</t>
  </si>
  <si>
    <t>2024-03-01</t>
  </si>
  <si>
    <t>CUST1038</t>
  </si>
  <si>
    <t>Dr. Brenda Ward</t>
  </si>
  <si>
    <t>ORD1048</t>
  </si>
  <si>
    <t>2024-05-15</t>
  </si>
  <si>
    <t>Martha Powell</t>
  </si>
  <si>
    <t>ORD1049</t>
  </si>
  <si>
    <t>18/04/2025</t>
  </si>
  <si>
    <t>Abigail Roberts</t>
  </si>
  <si>
    <t>ORD1050</t>
  </si>
  <si>
    <t>10-31-2024</t>
  </si>
  <si>
    <t>Arthur Calhoun</t>
  </si>
  <si>
    <t>ORD1051</t>
  </si>
  <si>
    <t>14/01/2024</t>
  </si>
  <si>
    <t>Loretta Wilson</t>
  </si>
  <si>
    <t>ORD1052</t>
  </si>
  <si>
    <t>11-21-2024</t>
  </si>
  <si>
    <t>CUST1052</t>
  </si>
  <si>
    <t>Dana Mccormick</t>
  </si>
  <si>
    <t>ORD1053</t>
  </si>
  <si>
    <t>10/06/2024</t>
  </si>
  <si>
    <t>CUST1069</t>
  </si>
  <si>
    <t>Darrell Price</t>
  </si>
  <si>
    <t>ORD1054</t>
  </si>
  <si>
    <t>14/04/2024</t>
  </si>
  <si>
    <t>CUST1077</t>
  </si>
  <si>
    <t>David Pope</t>
  </si>
  <si>
    <t>ORD1055</t>
  </si>
  <si>
    <t>2025-03-06</t>
  </si>
  <si>
    <t>Charles Petersen</t>
  </si>
  <si>
    <t>ORD1056</t>
  </si>
  <si>
    <t>15/07/2024</t>
  </si>
  <si>
    <t>Jerry Wolf</t>
  </si>
  <si>
    <t>ORD1057</t>
  </si>
  <si>
    <t>2024-12-03</t>
  </si>
  <si>
    <t>Tracy Prince</t>
  </si>
  <si>
    <t>ORD1058</t>
  </si>
  <si>
    <t>06-11-2024</t>
  </si>
  <si>
    <t>CUST1063</t>
  </si>
  <si>
    <t>Miss Michelle Case MD</t>
  </si>
  <si>
    <t>ORD1059</t>
  </si>
  <si>
    <t>2024-09-26</t>
  </si>
  <si>
    <t>Monique House</t>
  </si>
  <si>
    <t>ORD1060</t>
  </si>
  <si>
    <t>Michael Stout</t>
  </si>
  <si>
    <t>ORD1061</t>
  </si>
  <si>
    <t>21/12/2024</t>
  </si>
  <si>
    <t>CUST1031</t>
  </si>
  <si>
    <t>Krista Vega</t>
  </si>
  <si>
    <t>ORD1062</t>
  </si>
  <si>
    <t>2024-11-13</t>
  </si>
  <si>
    <t>CUST1059</t>
  </si>
  <si>
    <t>Jessica Ellis</t>
  </si>
  <si>
    <t>ORD1063</t>
  </si>
  <si>
    <t>11-23-2024</t>
  </si>
  <si>
    <t>Javier Mendoza</t>
  </si>
  <si>
    <t>ORD1064</t>
  </si>
  <si>
    <t>01-05-2024</t>
  </si>
  <si>
    <t>CUST1099</t>
  </si>
  <si>
    <t>Margaret Miller</t>
  </si>
  <si>
    <t>ORD1065</t>
  </si>
  <si>
    <t>2025-04-07</t>
  </si>
  <si>
    <t>CUST1041</t>
  </si>
  <si>
    <t>Andrea Robinson</t>
  </si>
  <si>
    <t>ORD1066</t>
  </si>
  <si>
    <t>12/04/2025</t>
  </si>
  <si>
    <t>Amy Ward</t>
  </si>
  <si>
    <t>ORD1067</t>
  </si>
  <si>
    <t>06/07/2024</t>
  </si>
  <si>
    <t>CUST1033</t>
  </si>
  <si>
    <t>Peter Villa</t>
  </si>
  <si>
    <t>ORD1068</t>
  </si>
  <si>
    <t>04-13-2025</t>
  </si>
  <si>
    <t>CUST1005</t>
  </si>
  <si>
    <t>Tasha Herman</t>
  </si>
  <si>
    <t>ORD1069</t>
  </si>
  <si>
    <t>07-17-2024</t>
  </si>
  <si>
    <t>CUST1083</t>
  </si>
  <si>
    <t>Diana Williams</t>
  </si>
  <si>
    <t>ORD1070</t>
  </si>
  <si>
    <t>04-21-2024</t>
  </si>
  <si>
    <t>CUST1045</t>
  </si>
  <si>
    <t>Donna Allen</t>
  </si>
  <si>
    <t>ORD1071</t>
  </si>
  <si>
    <t>11-24-2024</t>
  </si>
  <si>
    <t>CUST1097</t>
  </si>
  <si>
    <t>Susan Welch</t>
  </si>
  <si>
    <t>ORD1072</t>
  </si>
  <si>
    <t>2024-05-21</t>
  </si>
  <si>
    <t>CUST1001</t>
  </si>
  <si>
    <t>Xavier Khan</t>
  </si>
  <si>
    <t>ORD1073</t>
  </si>
  <si>
    <t>27/01/2024</t>
  </si>
  <si>
    <t>Margaret Greene</t>
  </si>
  <si>
    <t>ORD1074</t>
  </si>
  <si>
    <t>08/05/2025</t>
  </si>
  <si>
    <t>Brian Johnson</t>
  </si>
  <si>
    <t>ORD1075</t>
  </si>
  <si>
    <t>11-15-2024</t>
  </si>
  <si>
    <t>Austin Gregory</t>
  </si>
  <si>
    <t>ORD1076</t>
  </si>
  <si>
    <t>2024-07-30</t>
  </si>
  <si>
    <t>CUST1087</t>
  </si>
  <si>
    <t>Barbara Gomez</t>
  </si>
  <si>
    <t>ORD1077</t>
  </si>
  <si>
    <t>01-16-2025</t>
  </si>
  <si>
    <t>Michelle Rodriguez</t>
  </si>
  <si>
    <t>ORD1078</t>
  </si>
  <si>
    <t>29/06/2024</t>
  </si>
  <si>
    <t>CUST1047</t>
  </si>
  <si>
    <t>Ashley Porter</t>
  </si>
  <si>
    <t>ORD1079</t>
  </si>
  <si>
    <t>11-10-2024</t>
  </si>
  <si>
    <t>Ashley Jones DVM</t>
  </si>
  <si>
    <t>ORD1080</t>
  </si>
  <si>
    <t>05/02/2024</t>
  </si>
  <si>
    <t>Cassie Chang</t>
  </si>
  <si>
    <t>ORD1081</t>
  </si>
  <si>
    <t>2024-03-21</t>
  </si>
  <si>
    <t>CUST1027</t>
  </si>
  <si>
    <t>Patrick Marks</t>
  </si>
  <si>
    <t>ORD1082</t>
  </si>
  <si>
    <t>Renee Marshall</t>
  </si>
  <si>
    <t>ORD1083</t>
  </si>
  <si>
    <t>03-07-2024</t>
  </si>
  <si>
    <t>Christopher Johnson</t>
  </si>
  <si>
    <t>ORD1084</t>
  </si>
  <si>
    <t>2024-12-29</t>
  </si>
  <si>
    <t>CUST1046</t>
  </si>
  <si>
    <t>Phyllis Porter</t>
  </si>
  <si>
    <t>ORD1085</t>
  </si>
  <si>
    <t>07-21-2024</t>
  </si>
  <si>
    <t>Erica Gibson</t>
  </si>
  <si>
    <t>ORD1086</t>
  </si>
  <si>
    <t>11/05/2024</t>
  </si>
  <si>
    <t>Dr. Carol Moreno</t>
  </si>
  <si>
    <t>ORD1087</t>
  </si>
  <si>
    <t>02-04-2024</t>
  </si>
  <si>
    <t>Leslie Benson</t>
  </si>
  <si>
    <t>ORD1088</t>
  </si>
  <si>
    <t>10-10-2024</t>
  </si>
  <si>
    <t>Jay Sanford</t>
  </si>
  <si>
    <t>ORD1089</t>
  </si>
  <si>
    <t>21/01/2024</t>
  </si>
  <si>
    <t>CUST1049</t>
  </si>
  <si>
    <t>Deanna Hernandez</t>
  </si>
  <si>
    <t>ORD1090</t>
  </si>
  <si>
    <t>2024-02-18</t>
  </si>
  <si>
    <t>CUST1010</t>
  </si>
  <si>
    <t>Christopher Salinas</t>
  </si>
  <si>
    <t>ORD1091</t>
  </si>
  <si>
    <t>06-07-2024</t>
  </si>
  <si>
    <t>CUST1067</t>
  </si>
  <si>
    <t>Ryan Acevedo</t>
  </si>
  <si>
    <t>ORD1092</t>
  </si>
  <si>
    <t>2024-04-02</t>
  </si>
  <si>
    <t>Richard Bailey</t>
  </si>
  <si>
    <t>ORD1093</t>
  </si>
  <si>
    <t>19/03/2024</t>
  </si>
  <si>
    <t>Laura Salazar</t>
  </si>
  <si>
    <t>ORD1094</t>
  </si>
  <si>
    <t>Preston Wilson</t>
  </si>
  <si>
    <t>ORD1095</t>
  </si>
  <si>
    <t>22/03/2025</t>
  </si>
  <si>
    <t>CUST1015</t>
  </si>
  <si>
    <t>Zachary Mcdonald</t>
  </si>
  <si>
    <t>ORD1096</t>
  </si>
  <si>
    <t>04-29-2025</t>
  </si>
  <si>
    <t>Yesenia Mitchell</t>
  </si>
  <si>
    <t>ORD1097</t>
  </si>
  <si>
    <t>09/02/2025</t>
  </si>
  <si>
    <t>Ian Miller</t>
  </si>
  <si>
    <t>ORD1098</t>
  </si>
  <si>
    <t>10-07-2024</t>
  </si>
  <si>
    <t>Jonathan Ross</t>
  </si>
  <si>
    <t>ORD1099</t>
  </si>
  <si>
    <t>01-09-2024</t>
  </si>
  <si>
    <t>CUST1023</t>
  </si>
  <si>
    <t>Cameron Faulkner</t>
  </si>
  <si>
    <t>ORD1100</t>
  </si>
  <si>
    <t>09-16-2024</t>
  </si>
  <si>
    <t>Luis Young</t>
  </si>
  <si>
    <t>ORD1101</t>
  </si>
  <si>
    <t>2025-01-22</t>
  </si>
  <si>
    <t>CUST1061</t>
  </si>
  <si>
    <t>Julie Jensen</t>
  </si>
  <si>
    <t>ORD1102</t>
  </si>
  <si>
    <t>01-23-2024</t>
  </si>
  <si>
    <t>Jaime Cook</t>
  </si>
  <si>
    <t>ORD1103</t>
  </si>
  <si>
    <t>2024-03-04</t>
  </si>
  <si>
    <t>CUST1088</t>
  </si>
  <si>
    <t>John Hamilton</t>
  </si>
  <si>
    <t>ORD1104</t>
  </si>
  <si>
    <t>25/02/2025</t>
  </si>
  <si>
    <t>CUST1091</t>
  </si>
  <si>
    <t>Bob Bowman</t>
  </si>
  <si>
    <t>ORD1105</t>
  </si>
  <si>
    <t>05-20-2024</t>
  </si>
  <si>
    <t>ORD1106</t>
  </si>
  <si>
    <t>2024-04-30</t>
  </si>
  <si>
    <t>Steven Allen</t>
  </si>
  <si>
    <t>ORD1107</t>
  </si>
  <si>
    <t>28/11/2024</t>
  </si>
  <si>
    <t>Bonnie Goodwin</t>
  </si>
  <si>
    <t>ORD1108</t>
  </si>
  <si>
    <t>2024-03-10</t>
  </si>
  <si>
    <t>CUST1085</t>
  </si>
  <si>
    <t>Abigail Blankenship</t>
  </si>
  <si>
    <t>ORD1109</t>
  </si>
  <si>
    <t>2025-02-10</t>
  </si>
  <si>
    <t>Tina Lewis</t>
  </si>
  <si>
    <t>ORD1110</t>
  </si>
  <si>
    <t>01-02-2025</t>
  </si>
  <si>
    <t>CUST1057</t>
  </si>
  <si>
    <t>Victoria Palmer</t>
  </si>
  <si>
    <t>ORD1111</t>
  </si>
  <si>
    <t>04-11-2025</t>
  </si>
  <si>
    <t>CUST1066</t>
  </si>
  <si>
    <t>Todd Torres</t>
  </si>
  <si>
    <t>ORD1112</t>
  </si>
  <si>
    <t>Michael Hart</t>
  </si>
  <si>
    <t>ORD1113</t>
  </si>
  <si>
    <t>29/11/2024</t>
  </si>
  <si>
    <t>CUST1082</t>
  </si>
  <si>
    <t>Christopher Howard</t>
  </si>
  <si>
    <t>ORD1114</t>
  </si>
  <si>
    <t>18/12/2024</t>
  </si>
  <si>
    <t>Cesar Savage</t>
  </si>
  <si>
    <t>ORD1115</t>
  </si>
  <si>
    <t>2024-02-24</t>
  </si>
  <si>
    <t>Dorothy Galloway</t>
  </si>
  <si>
    <t>ORD1116</t>
  </si>
  <si>
    <t>09-20-2024</t>
  </si>
  <si>
    <t>CUST1074</t>
  </si>
  <si>
    <t>Justin Smith</t>
  </si>
  <si>
    <t>ORD1117</t>
  </si>
  <si>
    <t>09/03/2025</t>
  </si>
  <si>
    <t>Rachel Brown</t>
  </si>
  <si>
    <t>ORD1118</t>
  </si>
  <si>
    <t>2024-08-18</t>
  </si>
  <si>
    <t>CUST1071</t>
  </si>
  <si>
    <t>Lisa Webb</t>
  </si>
  <si>
    <t>ORD1119</t>
  </si>
  <si>
    <t>03-11-2024</t>
  </si>
  <si>
    <t>Jessica Alvarez</t>
  </si>
  <si>
    <t>ORD1120</t>
  </si>
  <si>
    <t>2024-08-31</t>
  </si>
  <si>
    <t>Michelle Anderson</t>
  </si>
  <si>
    <t>ORD1121</t>
  </si>
  <si>
    <t>03-28-2024</t>
  </si>
  <si>
    <t>CUST1014</t>
  </si>
  <si>
    <t>Barbara Chapman</t>
  </si>
  <si>
    <t>ORD1122</t>
  </si>
  <si>
    <t>04-14-2024</t>
  </si>
  <si>
    <t>Sharon Adams</t>
  </si>
  <si>
    <t>ORD1123</t>
  </si>
  <si>
    <t>04-12-2025</t>
  </si>
  <si>
    <t>Hayley Walker</t>
  </si>
  <si>
    <t>ORD1124</t>
  </si>
  <si>
    <t>26/12/2024</t>
  </si>
  <si>
    <t>CUST1035</t>
  </si>
  <si>
    <t>Alexa Vasquez</t>
  </si>
  <si>
    <t>ORD1125</t>
  </si>
  <si>
    <t>2024-05-27</t>
  </si>
  <si>
    <t>Joseph Hernandez</t>
  </si>
  <si>
    <t>ORD1126</t>
  </si>
  <si>
    <t>2024-12-08</t>
  </si>
  <si>
    <t>CUST1000</t>
  </si>
  <si>
    <t>Michael Moore</t>
  </si>
  <si>
    <t>ORD1127</t>
  </si>
  <si>
    <t>13/06/2024</t>
  </si>
  <si>
    <t>Tammy Chan</t>
  </si>
  <si>
    <t>ORD1128</t>
  </si>
  <si>
    <t>04-05-2024</t>
  </si>
  <si>
    <t>ORD1129</t>
  </si>
  <si>
    <t>18/06/2024</t>
  </si>
  <si>
    <t>Lisa Kennedy</t>
  </si>
  <si>
    <t>ORD1130</t>
  </si>
  <si>
    <t>2024-02-14</t>
  </si>
  <si>
    <t>Matthew Snyder MD</t>
  </si>
  <si>
    <t>ORD1131</t>
  </si>
  <si>
    <t>2024-02-01</t>
  </si>
  <si>
    <t>Justin Hutchinson</t>
  </si>
  <si>
    <t>ORD1132</t>
  </si>
  <si>
    <t>03-19-2024</t>
  </si>
  <si>
    <t>Isaac Schroeder</t>
  </si>
  <si>
    <t>ORD1133</t>
  </si>
  <si>
    <t>02-01-2024</t>
  </si>
  <si>
    <t>Matthew Andrews</t>
  </si>
  <si>
    <t>ORD1134</t>
  </si>
  <si>
    <t>09-19-2024</t>
  </si>
  <si>
    <t>CUST1095</t>
  </si>
  <si>
    <t>Luke Mann</t>
  </si>
  <si>
    <t>ORD1135</t>
  </si>
  <si>
    <t>04-23-2025</t>
  </si>
  <si>
    <t>Paul Jacobs</t>
  </si>
  <si>
    <t>ORD1136</t>
  </si>
  <si>
    <t>12-15-2024</t>
  </si>
  <si>
    <t>Victor Osborn</t>
  </si>
  <si>
    <t>ORD1137</t>
  </si>
  <si>
    <t>Justin Knight</t>
  </si>
  <si>
    <t>ORD1138</t>
  </si>
  <si>
    <t>Karen Green</t>
  </si>
  <si>
    <t>ORD1139</t>
  </si>
  <si>
    <t>10-22-2024</t>
  </si>
  <si>
    <t>Amanda Ray</t>
  </si>
  <si>
    <t>ORD1140</t>
  </si>
  <si>
    <t>2025-04-27</t>
  </si>
  <si>
    <t>Daniel Hutchinson</t>
  </si>
  <si>
    <t>ORD1141</t>
  </si>
  <si>
    <t>05-10-2025</t>
  </si>
  <si>
    <t>CUST1011</t>
  </si>
  <si>
    <t>Tracy Oliver</t>
  </si>
  <si>
    <t>ORD1142</t>
  </si>
  <si>
    <t>2024-01-21</t>
  </si>
  <si>
    <t>Deborah Carter</t>
  </si>
  <si>
    <t>ORD1143</t>
  </si>
  <si>
    <t>2024-12-22</t>
  </si>
  <si>
    <t>Joseph Klein</t>
  </si>
  <si>
    <t>ORD1144</t>
  </si>
  <si>
    <t>01-24-2025</t>
  </si>
  <si>
    <t>Jeffrey Roman</t>
  </si>
  <si>
    <t>ORD1145</t>
  </si>
  <si>
    <t>2024-07-13</t>
  </si>
  <si>
    <t>Hunter Rivers MD</t>
  </si>
  <si>
    <t>ORD1146</t>
  </si>
  <si>
    <t>04-04-2024</t>
  </si>
  <si>
    <t>Michelle Hodges</t>
  </si>
  <si>
    <t>ORD1147</t>
  </si>
  <si>
    <t>2024-04-21</t>
  </si>
  <si>
    <t>Jacob Lane</t>
  </si>
  <si>
    <t>ORD1148</t>
  </si>
  <si>
    <t>CUST1030</t>
  </si>
  <si>
    <t>Leslie Brown</t>
  </si>
  <si>
    <t>ORD1149</t>
  </si>
  <si>
    <t>05-06-2025</t>
  </si>
  <si>
    <t>Brandi Wells</t>
  </si>
  <si>
    <t>ORD1150</t>
  </si>
  <si>
    <t>25/12/2024</t>
  </si>
  <si>
    <t>Charles Bell DDS</t>
  </si>
  <si>
    <t>ORD1151</t>
  </si>
  <si>
    <t>12-16-2024</t>
  </si>
  <si>
    <t>Matthew Nelson</t>
  </si>
  <si>
    <t>ORD1152</t>
  </si>
  <si>
    <t>2024-10-17</t>
  </si>
  <si>
    <t>Lawrence Rios</t>
  </si>
  <si>
    <t>ORD1153</t>
  </si>
  <si>
    <t>06-23-2024</t>
  </si>
  <si>
    <t>Christine Wright</t>
  </si>
  <si>
    <t>ORD1154</t>
  </si>
  <si>
    <t>12/02/2025</t>
  </si>
  <si>
    <t>Sarah Mcgee</t>
  </si>
  <si>
    <t>ORD1155</t>
  </si>
  <si>
    <t>24/01/2025</t>
  </si>
  <si>
    <t>CUST1003</t>
  </si>
  <si>
    <t>Hannah Escobar</t>
  </si>
  <si>
    <t>ORD1156</t>
  </si>
  <si>
    <t>ORD1157</t>
  </si>
  <si>
    <t>2024-03-26</t>
  </si>
  <si>
    <t>CUST1076</t>
  </si>
  <si>
    <t>Tracy Herrera</t>
  </si>
  <si>
    <t>ORD1158</t>
  </si>
  <si>
    <t>2024-06-19</t>
  </si>
  <si>
    <t>CUST1017</t>
  </si>
  <si>
    <t>Daniel Edwards</t>
  </si>
  <si>
    <t>ORD1159</t>
  </si>
  <si>
    <t>05-29-2024</t>
  </si>
  <si>
    <t>Edgar Bishop</t>
  </si>
  <si>
    <t>ORD1160</t>
  </si>
  <si>
    <t>2024-04-17</t>
  </si>
  <si>
    <t>Amanda Blair</t>
  </si>
  <si>
    <t>ORD1161</t>
  </si>
  <si>
    <t>2024-08-17</t>
  </si>
  <si>
    <t>Edward Ruiz</t>
  </si>
  <si>
    <t>ORD1162</t>
  </si>
  <si>
    <t>10-15-2024</t>
  </si>
  <si>
    <t>Kristina Haley</t>
  </si>
  <si>
    <t>ORD1163</t>
  </si>
  <si>
    <t>2024-10-28</t>
  </si>
  <si>
    <t>CUST1018</t>
  </si>
  <si>
    <t>Cassandra Henderson</t>
  </si>
  <si>
    <t>ORD1164</t>
  </si>
  <si>
    <t>02-19-2024</t>
  </si>
  <si>
    <t>David Hill</t>
  </si>
  <si>
    <t>ORD1165</t>
  </si>
  <si>
    <t>06-18-2024</t>
  </si>
  <si>
    <t>Tyrone Simon</t>
  </si>
  <si>
    <t>ORD1166</t>
  </si>
  <si>
    <t>15/04/2024</t>
  </si>
  <si>
    <t>Jason Little</t>
  </si>
  <si>
    <t>ORD1167</t>
  </si>
  <si>
    <t>06-09-2024</t>
  </si>
  <si>
    <t>CUST1090</t>
  </si>
  <si>
    <t>Caroline Walker</t>
  </si>
  <si>
    <t>ORD1168</t>
  </si>
  <si>
    <t>05/06/2024</t>
  </si>
  <si>
    <t>Suzanne Vargas</t>
  </si>
  <si>
    <t>ORD1169</t>
  </si>
  <si>
    <t>2024-04-05</t>
  </si>
  <si>
    <t>Christopher Hicks</t>
  </si>
  <si>
    <t>ORD1170</t>
  </si>
  <si>
    <t>26/03/2024</t>
  </si>
  <si>
    <t>CUST1021</t>
  </si>
  <si>
    <t>Caitlin Haley</t>
  </si>
  <si>
    <t>ORD1171</t>
  </si>
  <si>
    <t>2024-10-04</t>
  </si>
  <si>
    <t>Jamie Bruce</t>
  </si>
  <si>
    <t>ORD1172</t>
  </si>
  <si>
    <t>03-19-2025</t>
  </si>
  <si>
    <t>CUST1080</t>
  </si>
  <si>
    <t>Christopher Chen</t>
  </si>
  <si>
    <t>ORD1173</t>
  </si>
  <si>
    <t>29/09/2024</t>
  </si>
  <si>
    <t>CUST1086</t>
  </si>
  <si>
    <t>Jordan Walker</t>
  </si>
  <si>
    <t>ORD1174</t>
  </si>
  <si>
    <t>07/05/2024</t>
  </si>
  <si>
    <t>Jennifer Medina</t>
  </si>
  <si>
    <t>ORD1175</t>
  </si>
  <si>
    <t>Matthew Morgan</t>
  </si>
  <si>
    <t>ORD1176</t>
  </si>
  <si>
    <t>Cheryl Watts</t>
  </si>
  <si>
    <t>ORD1177</t>
  </si>
  <si>
    <t>2025-04-20</t>
  </si>
  <si>
    <t>Karen Owen</t>
  </si>
  <si>
    <t>ORD1178</t>
  </si>
  <si>
    <t>2024-12-06</t>
  </si>
  <si>
    <t>Gary Galloway</t>
  </si>
  <si>
    <t>ORD1179</t>
  </si>
  <si>
    <t>2024-09-22</t>
  </si>
  <si>
    <t>Mr. Thomas Rodgers</t>
  </si>
  <si>
    <t>ORD1180</t>
  </si>
  <si>
    <t>27/03/2025</t>
  </si>
  <si>
    <t>CUST1008</t>
  </si>
  <si>
    <t>Marvin Holland</t>
  </si>
  <si>
    <t>ORD1181</t>
  </si>
  <si>
    <t>11-17-2024</t>
  </si>
  <si>
    <t>Zachary Potter</t>
  </si>
  <si>
    <t>ORD1182</t>
  </si>
  <si>
    <t>26/11/2024</t>
  </si>
  <si>
    <t>Mary Pineda</t>
  </si>
  <si>
    <t>ORD1183</t>
  </si>
  <si>
    <t>02-05-2025</t>
  </si>
  <si>
    <t>David Ross</t>
  </si>
  <si>
    <t>ORD1184</t>
  </si>
  <si>
    <t>03-29-2024</t>
  </si>
  <si>
    <t>Thomas Kelly</t>
  </si>
  <si>
    <t>ORD1185</t>
  </si>
  <si>
    <t>11/11/2024</t>
  </si>
  <si>
    <t>Andrea Diaz</t>
  </si>
  <si>
    <t>ORD1186</t>
  </si>
  <si>
    <t>Robert Wilson</t>
  </si>
  <si>
    <t>ORD1187</t>
  </si>
  <si>
    <t>2025-02-04</t>
  </si>
  <si>
    <t>CUST1042</t>
  </si>
  <si>
    <t>Sarah Wade</t>
  </si>
  <si>
    <t>ORD1188</t>
  </si>
  <si>
    <t>02-09-2024</t>
  </si>
  <si>
    <t>CUST1073</t>
  </si>
  <si>
    <t>David Frederick</t>
  </si>
  <si>
    <t>ORD1189</t>
  </si>
  <si>
    <t>2024-01-24</t>
  </si>
  <si>
    <t>Margaret Bradley</t>
  </si>
  <si>
    <t>ORD1190</t>
  </si>
  <si>
    <t>26/02/2025</t>
  </si>
  <si>
    <t>Kathy Morris</t>
  </si>
  <si>
    <t>ORD1191</t>
  </si>
  <si>
    <t>2024-10-10</t>
  </si>
  <si>
    <t>Anthony Wood</t>
  </si>
  <si>
    <t>ORD1192</t>
  </si>
  <si>
    <t>13/01/2024</t>
  </si>
  <si>
    <t>Wendy Lopez</t>
  </si>
  <si>
    <t>ORD1193</t>
  </si>
  <si>
    <t>07/05/2025</t>
  </si>
  <si>
    <t>Edward Clarke</t>
  </si>
  <si>
    <t>ORD1194</t>
  </si>
  <si>
    <t>2024-11-22</t>
  </si>
  <si>
    <t>Carol Johnson</t>
  </si>
  <si>
    <t>ORD1195</t>
  </si>
  <si>
    <t>28/04/2025</t>
  </si>
  <si>
    <t>Tammy Love</t>
  </si>
  <si>
    <t>ORD1196</t>
  </si>
  <si>
    <t>12/03/2025</t>
  </si>
  <si>
    <t>Dawn Gordon</t>
  </si>
  <si>
    <t>ORD1197</t>
  </si>
  <si>
    <t>2025-02-23</t>
  </si>
  <si>
    <t>Gary Miranda</t>
  </si>
  <si>
    <t>ORD1198</t>
  </si>
  <si>
    <t>12-17-2024</t>
  </si>
  <si>
    <t>Sean Moss</t>
  </si>
  <si>
    <t>ORD1199</t>
  </si>
  <si>
    <t>CUST1022</t>
  </si>
  <si>
    <t>Sara Brewer</t>
  </si>
  <si>
    <t>ORD1200</t>
  </si>
  <si>
    <t>2024-11-10</t>
  </si>
  <si>
    <t>Stephanie White</t>
  </si>
  <si>
    <t>first_name</t>
  </si>
  <si>
    <t>last_name</t>
  </si>
  <si>
    <t>city_clean</t>
  </si>
  <si>
    <t>product_category_clean</t>
  </si>
  <si>
    <t>product_name_clean</t>
  </si>
  <si>
    <t>discount_clean</t>
  </si>
  <si>
    <t>profit</t>
  </si>
  <si>
    <t>Pamela</t>
  </si>
  <si>
    <t>Hanson</t>
  </si>
  <si>
    <t>Jacob</t>
  </si>
  <si>
    <t>Garrett</t>
  </si>
  <si>
    <t>Donald</t>
  </si>
  <si>
    <t>Yang</t>
  </si>
  <si>
    <t>Sherri</t>
  </si>
  <si>
    <t>Evans</t>
  </si>
  <si>
    <t>Sophia</t>
  </si>
  <si>
    <t>Schaefer</t>
  </si>
  <si>
    <t>Leah</t>
  </si>
  <si>
    <t>Smith</t>
  </si>
  <si>
    <t>Candice</t>
  </si>
  <si>
    <t>Huang</t>
  </si>
  <si>
    <t>Mary</t>
  </si>
  <si>
    <t>Rhodes</t>
  </si>
  <si>
    <t>Matthew</t>
  </si>
  <si>
    <t>Harris</t>
  </si>
  <si>
    <t>Claire</t>
  </si>
  <si>
    <t>Rodriguez</t>
  </si>
  <si>
    <t>Aaron</t>
  </si>
  <si>
    <t>Kathy</t>
  </si>
  <si>
    <t>Victor</t>
  </si>
  <si>
    <t>Thomas</t>
  </si>
  <si>
    <t>Theresa</t>
  </si>
  <si>
    <t>Carlson</t>
  </si>
  <si>
    <t>Rachel</t>
  </si>
  <si>
    <t>Collins</t>
  </si>
  <si>
    <t>Brandon</t>
  </si>
  <si>
    <t>Ingram</t>
  </si>
  <si>
    <t>Brian</t>
  </si>
  <si>
    <t>Schultz</t>
  </si>
  <si>
    <t>Alicia</t>
  </si>
  <si>
    <t>Johnson</t>
  </si>
  <si>
    <t>Brittney</t>
  </si>
  <si>
    <t>Andrew</t>
  </si>
  <si>
    <t>Burgess</t>
  </si>
  <si>
    <t>Adam</t>
  </si>
  <si>
    <t>Rowland</t>
  </si>
  <si>
    <t>Midlands</t>
  </si>
  <si>
    <t>Jeremy</t>
  </si>
  <si>
    <t>Brown</t>
  </si>
  <si>
    <t>James</t>
  </si>
  <si>
    <t>Byrd</t>
  </si>
  <si>
    <t>Jones</t>
  </si>
  <si>
    <t>Martin</t>
  </si>
  <si>
    <t>Judy</t>
  </si>
  <si>
    <t>Mendoza</t>
  </si>
  <si>
    <t>Oscar</t>
  </si>
  <si>
    <t>Meyers</t>
  </si>
  <si>
    <t>Jesse</t>
  </si>
  <si>
    <t>Anthony</t>
  </si>
  <si>
    <t>Sanchez</t>
  </si>
  <si>
    <t>Elizabeth</t>
  </si>
  <si>
    <t>Wolfe</t>
  </si>
  <si>
    <t>Michele</t>
  </si>
  <si>
    <t>Mullins</t>
  </si>
  <si>
    <t>Kaitlin</t>
  </si>
  <si>
    <t>Gray</t>
  </si>
  <si>
    <t>Jennifer</t>
  </si>
  <si>
    <t>Munoz</t>
  </si>
  <si>
    <t>Ward</t>
  </si>
  <si>
    <t>Abigail</t>
  </si>
  <si>
    <t>Roberts</t>
  </si>
  <si>
    <t>Loretta</t>
  </si>
  <si>
    <t>Wilson</t>
  </si>
  <si>
    <t>Dana</t>
  </si>
  <si>
    <t>Mccormick</t>
  </si>
  <si>
    <t>Jerry</t>
  </si>
  <si>
    <t>Wolf</t>
  </si>
  <si>
    <t>Tracy</t>
  </si>
  <si>
    <t>Prince</t>
  </si>
  <si>
    <t>Monique</t>
  </si>
  <si>
    <t>House</t>
  </si>
  <si>
    <t>Michael</t>
  </si>
  <si>
    <t>Stout</t>
  </si>
  <si>
    <t>Jessica</t>
  </si>
  <si>
    <t>Ellis</t>
  </si>
  <si>
    <t>Javier</t>
  </si>
  <si>
    <t>Margaret</t>
  </si>
  <si>
    <t>Miller</t>
  </si>
  <si>
    <t>Andrea</t>
  </si>
  <si>
    <t>Robinson</t>
  </si>
  <si>
    <t>Amy</t>
  </si>
  <si>
    <t>Tasha</t>
  </si>
  <si>
    <t>Herman</t>
  </si>
  <si>
    <t>Diana</t>
  </si>
  <si>
    <t>Williams</t>
  </si>
  <si>
    <t>Susan</t>
  </si>
  <si>
    <t>Welch</t>
  </si>
  <si>
    <t>Xavier</t>
  </si>
  <si>
    <t>Khan</t>
  </si>
  <si>
    <t>Greene</t>
  </si>
  <si>
    <t>Barbara</t>
  </si>
  <si>
    <t>Gomez</t>
  </si>
  <si>
    <t>Michelle</t>
  </si>
  <si>
    <t>Ashley</t>
  </si>
  <si>
    <t>Cassie</t>
  </si>
  <si>
    <t>Chang</t>
  </si>
  <si>
    <t>Patrick</t>
  </si>
  <si>
    <t>Marks</t>
  </si>
  <si>
    <t>Erica</t>
  </si>
  <si>
    <t>Gibson</t>
  </si>
  <si>
    <t>Moreno</t>
  </si>
  <si>
    <t>Jay</t>
  </si>
  <si>
    <t>Sanford</t>
  </si>
  <si>
    <t>Deanna</t>
  </si>
  <si>
    <t>Hernandez</t>
  </si>
  <si>
    <t>Ryan</t>
  </si>
  <si>
    <t>Acevedo</t>
  </si>
  <si>
    <t>Richard</t>
  </si>
  <si>
    <t>Bailey</t>
  </si>
  <si>
    <t>Preston</t>
  </si>
  <si>
    <t>Zachary</t>
  </si>
  <si>
    <t>Mcdonald</t>
  </si>
  <si>
    <t>Yesenia</t>
  </si>
  <si>
    <t>Mitchell</t>
  </si>
  <si>
    <t>Ian</t>
  </si>
  <si>
    <t>Cameron</t>
  </si>
  <si>
    <t>Faulkner</t>
  </si>
  <si>
    <t>Luis</t>
  </si>
  <si>
    <t>Young</t>
  </si>
  <si>
    <t>Julie</t>
  </si>
  <si>
    <t>Jensen</t>
  </si>
  <si>
    <t>Jaime</t>
  </si>
  <si>
    <t>Cook</t>
  </si>
  <si>
    <t>John</t>
  </si>
  <si>
    <t>Hamilton</t>
  </si>
  <si>
    <t>Bob</t>
  </si>
  <si>
    <t>Bowman</t>
  </si>
  <si>
    <t>Christopher</t>
  </si>
  <si>
    <t>Steven</t>
  </si>
  <si>
    <t>Allen</t>
  </si>
  <si>
    <t>Blankenship</t>
  </si>
  <si>
    <t>Tina</t>
  </si>
  <si>
    <t>Lewis</t>
  </si>
  <si>
    <t>Victoria</t>
  </si>
  <si>
    <t>Palmer</t>
  </si>
  <si>
    <t>Todd</t>
  </si>
  <si>
    <t>Torres</t>
  </si>
  <si>
    <t>Hart</t>
  </si>
  <si>
    <t>Howard</t>
  </si>
  <si>
    <t>Cesar</t>
  </si>
  <si>
    <t>Savage</t>
  </si>
  <si>
    <t>Dorothy</t>
  </si>
  <si>
    <t>Galloway</t>
  </si>
  <si>
    <t>Lisa</t>
  </si>
  <si>
    <t>Webb</t>
  </si>
  <si>
    <t>Anderson</t>
  </si>
  <si>
    <t>Chapman</t>
  </si>
  <si>
    <t>Sharon</t>
  </si>
  <si>
    <t>Adams</t>
  </si>
  <si>
    <t>Hayley</t>
  </si>
  <si>
    <t>Walker</t>
  </si>
  <si>
    <t>Alexa</t>
  </si>
  <si>
    <t>Vasquez</t>
  </si>
  <si>
    <t>Joseph</t>
  </si>
  <si>
    <t>Tammy</t>
  </si>
  <si>
    <t>Chan</t>
  </si>
  <si>
    <t>Justin</t>
  </si>
  <si>
    <t>Hutchinson</t>
  </si>
  <si>
    <t>Isaac</t>
  </si>
  <si>
    <t>Schroeder</t>
  </si>
  <si>
    <t>Andrews</t>
  </si>
  <si>
    <t>Luke</t>
  </si>
  <si>
    <t>Mann</t>
  </si>
  <si>
    <t>Osborn</t>
  </si>
  <si>
    <t>Knight</t>
  </si>
  <si>
    <t>Karen</t>
  </si>
  <si>
    <t>Green</t>
  </si>
  <si>
    <t>Deborah</t>
  </si>
  <si>
    <t>Carter</t>
  </si>
  <si>
    <t>Jeffrey</t>
  </si>
  <si>
    <t>Roman</t>
  </si>
  <si>
    <t>Hunter</t>
  </si>
  <si>
    <t>Hodges</t>
  </si>
  <si>
    <t>Lane</t>
  </si>
  <si>
    <t>Charles</t>
  </si>
  <si>
    <t>Nelson</t>
  </si>
  <si>
    <t>Sarah</t>
  </si>
  <si>
    <t>Mcgee</t>
  </si>
  <si>
    <t>Herrera</t>
  </si>
  <si>
    <t>Daniel</t>
  </si>
  <si>
    <t>Edwards</t>
  </si>
  <si>
    <t>Edgar</t>
  </si>
  <si>
    <t>Bishop</t>
  </si>
  <si>
    <t>Edward</t>
  </si>
  <si>
    <t>Ruiz</t>
  </si>
  <si>
    <t>David</t>
  </si>
  <si>
    <t>Hill</t>
  </si>
  <si>
    <t>Caroline</t>
  </si>
  <si>
    <t>Caitlin</t>
  </si>
  <si>
    <t>Haley</t>
  </si>
  <si>
    <t>Jamie</t>
  </si>
  <si>
    <t>Bruce</t>
  </si>
  <si>
    <t>Chen</t>
  </si>
  <si>
    <t>Jordan</t>
  </si>
  <si>
    <t>Medina</t>
  </si>
  <si>
    <t>Morgan</t>
  </si>
  <si>
    <t>Owen</t>
  </si>
  <si>
    <t>Gary</t>
  </si>
  <si>
    <t>Rodgers</t>
  </si>
  <si>
    <t>Potter</t>
  </si>
  <si>
    <t>Ross</t>
  </si>
  <si>
    <t>Kelly</t>
  </si>
  <si>
    <t>Diaz</t>
  </si>
  <si>
    <t>Robert</t>
  </si>
  <si>
    <t>Wade</t>
  </si>
  <si>
    <t>Frederick</t>
  </si>
  <si>
    <t>Morris</t>
  </si>
  <si>
    <t>Wood</t>
  </si>
  <si>
    <t>Wendy</t>
  </si>
  <si>
    <t>Lopez</t>
  </si>
  <si>
    <t>Clarke</t>
  </si>
  <si>
    <t>Carol</t>
  </si>
  <si>
    <t>Love</t>
  </si>
  <si>
    <t>Dawn</t>
  </si>
  <si>
    <t>Gordon</t>
  </si>
  <si>
    <t>Miranda</t>
  </si>
  <si>
    <t>Sean</t>
  </si>
  <si>
    <t>Moss</t>
  </si>
  <si>
    <t>profit_margin</t>
  </si>
  <si>
    <t>month_year</t>
  </si>
  <si>
    <t>cost</t>
  </si>
  <si>
    <t>Order Date helper1</t>
  </si>
  <si>
    <t>Order Date helper2</t>
  </si>
  <si>
    <t>No Acct</t>
  </si>
  <si>
    <t>order_date_ clean</t>
  </si>
  <si>
    <t xml:space="preserve">customer_ name_ clean </t>
  </si>
  <si>
    <t>region_ clean</t>
  </si>
  <si>
    <t>unit_price_clean</t>
  </si>
  <si>
    <t>cost_per_unit_clean</t>
  </si>
  <si>
    <t>payment_method_clean</t>
  </si>
  <si>
    <t>order_status_clean</t>
  </si>
  <si>
    <t>metrics</t>
  </si>
  <si>
    <t>Total Order:</t>
  </si>
  <si>
    <t>Order Completed:</t>
  </si>
  <si>
    <t>Order Cancelled:</t>
  </si>
  <si>
    <t>Order completion rate:</t>
  </si>
  <si>
    <t>Order cancellation rate:</t>
  </si>
  <si>
    <t>Total Customer:</t>
  </si>
  <si>
    <t>Brenda Ward</t>
  </si>
  <si>
    <t>Michelle Case</t>
  </si>
  <si>
    <t>Ashley Jones</t>
  </si>
  <si>
    <t>Carol Moreno</t>
  </si>
  <si>
    <t>Matthew Snyder</t>
  </si>
  <si>
    <t>Hunter Rivers</t>
  </si>
  <si>
    <t>Charles Bell</t>
  </si>
  <si>
    <t>Thomas Rodgers</t>
  </si>
  <si>
    <t>Cassandra</t>
  </si>
  <si>
    <t>Mark</t>
  </si>
  <si>
    <t>Jonathan</t>
  </si>
  <si>
    <t>Chase</t>
  </si>
  <si>
    <t>Brenda</t>
  </si>
  <si>
    <t>Martha</t>
  </si>
  <si>
    <t>Arthur</t>
  </si>
  <si>
    <t>Darrell</t>
  </si>
  <si>
    <t>Krista</t>
  </si>
  <si>
    <t>Peter</t>
  </si>
  <si>
    <t>Donna</t>
  </si>
  <si>
    <t>Austin</t>
  </si>
  <si>
    <t>Renee</t>
  </si>
  <si>
    <t>Phyllis</t>
  </si>
  <si>
    <t>Leslie</t>
  </si>
  <si>
    <t>Laura</t>
  </si>
  <si>
    <t>Bonnie</t>
  </si>
  <si>
    <t>Paul</t>
  </si>
  <si>
    <t>Amanda</t>
  </si>
  <si>
    <t>Brandi</t>
  </si>
  <si>
    <t>Lawrence</t>
  </si>
  <si>
    <t>Christine</t>
  </si>
  <si>
    <t>Hannah</t>
  </si>
  <si>
    <t>Kristina</t>
  </si>
  <si>
    <t>Tyrone</t>
  </si>
  <si>
    <t>Jason</t>
  </si>
  <si>
    <t>Suzanne</t>
  </si>
  <si>
    <t>Cheryl</t>
  </si>
  <si>
    <t>Marvin</t>
  </si>
  <si>
    <t>Sara</t>
  </si>
  <si>
    <t>Stephanie</t>
  </si>
  <si>
    <t>Hicks</t>
  </si>
  <si>
    <t>Martinez</t>
  </si>
  <si>
    <t>Mcknight</t>
  </si>
  <si>
    <t>English</t>
  </si>
  <si>
    <t>Turner</t>
  </si>
  <si>
    <t>Tucker</t>
  </si>
  <si>
    <t>Woodard</t>
  </si>
  <si>
    <t>Murray</t>
  </si>
  <si>
    <t>Lynn</t>
  </si>
  <si>
    <t>Powell</t>
  </si>
  <si>
    <t>Calhoun</t>
  </si>
  <si>
    <t>Price</t>
  </si>
  <si>
    <t>Pope</t>
  </si>
  <si>
    <t>Petersen</t>
  </si>
  <si>
    <t>Case</t>
  </si>
  <si>
    <t>Vega</t>
  </si>
  <si>
    <t>Villa</t>
  </si>
  <si>
    <t>Gregory</t>
  </si>
  <si>
    <t>Porter</t>
  </si>
  <si>
    <t>Marshall</t>
  </si>
  <si>
    <t>Benson</t>
  </si>
  <si>
    <t>Salinas</t>
  </si>
  <si>
    <t>Salazar</t>
  </si>
  <si>
    <t>Goodwin</t>
  </si>
  <si>
    <t>Alvarez</t>
  </si>
  <si>
    <t>Moore</t>
  </si>
  <si>
    <t>Kennedy</t>
  </si>
  <si>
    <t>Snyder</t>
  </si>
  <si>
    <t>Jacobs</t>
  </si>
  <si>
    <t>Ray</t>
  </si>
  <si>
    <t>Oliver</t>
  </si>
  <si>
    <t>Klein</t>
  </si>
  <si>
    <t>Rivers</t>
  </si>
  <si>
    <t>Wells</t>
  </si>
  <si>
    <t>Bell</t>
  </si>
  <si>
    <t>Rios</t>
  </si>
  <si>
    <t>Wright</t>
  </si>
  <si>
    <t>Escobar</t>
  </si>
  <si>
    <t>Blair</t>
  </si>
  <si>
    <t>Henderson</t>
  </si>
  <si>
    <t>Simon</t>
  </si>
  <si>
    <t>Little</t>
  </si>
  <si>
    <t>Vargas</t>
  </si>
  <si>
    <t>Watts</t>
  </si>
  <si>
    <t>Holland</t>
  </si>
  <si>
    <t>Pineda</t>
  </si>
  <si>
    <t>Bradley</t>
  </si>
  <si>
    <t>Brewer</t>
  </si>
  <si>
    <t>White</t>
  </si>
  <si>
    <t>Paypal</t>
  </si>
  <si>
    <t xml:space="preserve">revenue </t>
  </si>
  <si>
    <t>transaction_status</t>
  </si>
  <si>
    <t>sale_flag</t>
  </si>
  <si>
    <t>year</t>
  </si>
  <si>
    <t>month_num</t>
  </si>
  <si>
    <t>Jan</t>
  </si>
  <si>
    <t>Jul</t>
  </si>
  <si>
    <t>Dec</t>
  </si>
  <si>
    <t>Feb</t>
  </si>
  <si>
    <t>Aug</t>
  </si>
  <si>
    <t>Mar</t>
  </si>
  <si>
    <t>Sep</t>
  </si>
  <si>
    <t>Jun</t>
  </si>
  <si>
    <t>Apr</t>
  </si>
  <si>
    <t>Oct</t>
  </si>
  <si>
    <t>May</t>
  </si>
  <si>
    <t>month_name</t>
  </si>
  <si>
    <t>Grand Total</t>
  </si>
  <si>
    <t xml:space="preserve">Sum of revenue </t>
  </si>
  <si>
    <t>revenue_sum</t>
  </si>
  <si>
    <t>Sum of profit</t>
  </si>
  <si>
    <t>profit_sum</t>
  </si>
  <si>
    <t>Category</t>
  </si>
  <si>
    <t>2024</t>
  </si>
  <si>
    <t>2025</t>
  </si>
  <si>
    <t>Nov</t>
  </si>
  <si>
    <t>customer_id</t>
  </si>
  <si>
    <t>order_status</t>
  </si>
  <si>
    <t>payment method</t>
  </si>
  <si>
    <t>count</t>
  </si>
  <si>
    <t>Count</t>
  </si>
  <si>
    <t>month, year</t>
  </si>
  <si>
    <t>Sum of Profit Margin</t>
  </si>
  <si>
    <t>Count of Order_ID</t>
  </si>
  <si>
    <t>Distinct Count of Customer_ID</t>
  </si>
  <si>
    <t>(Multiple Items)</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</si>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</sst>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164" formatCode="mmm\,\ yyyy"/>
    <numFmt numFmtId="165" formatCode="0_);\(0\)"/>
    <numFmt numFmtId="166" formatCode="_([$£-809]* #,##0.00_);_([$£-809]* \(#,##0.00\);_([$£-809]* &quot;-&quot;??_);_(@_)"/>
    <numFmt numFmtId="167" formatCode="mmmm"/>
    <numFmt numFmtId="168" formatCode="#,##0.00_ ;[Red]\-#,##0.00\ "/>
    <numFmt numFmtId="169" formatCode="0.00_ ;[Red]\-0.00\ "/>
  </numFmts>
  <fonts count="5" x14ac:knownFonts="1">
    <font>
      <sz val="11"/>
      <color theme="1"/>
      <name val="Calibri"/>
      <family val="2"/>
      <scheme val="minor"/>
    </font>
    <font>
      <b/>
      <i/>
      <sz val="11"/>
      <color theme="7" tint="-0.249977111117893"/>
      <name val="Calibri"/>
      <family val="2"/>
      <scheme val="minor"/>
    </font>
    <font>
      <sz val="9"/>
      <color indexed="81"/>
      <name val="Tahoma"/>
      <family val="2"/>
    </font>
    <font>
      <b/>
      <sz val="9"/>
      <color indexed="81"/>
      <name val="Tahoma"/>
      <family val="2"/>
    </font>
    <font>
      <b/>
      <i/>
      <sz val="14"/>
      <color theme="3" tint="-0.499984740745262"/>
      <name val="Calibri"/>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31">
    <xf numFmtId="0" fontId="0" fillId="0" borderId="0" xfId="0"/>
    <xf numFmtId="14" fontId="0" fillId="0" borderId="0" xfId="0" applyNumberFormat="1"/>
    <xf numFmtId="2" fontId="0" fillId="0" borderId="0" xfId="0" applyNumberFormat="1"/>
    <xf numFmtId="164" fontId="0" fillId="0" borderId="0" xfId="0" applyNumberFormat="1"/>
    <xf numFmtId="0" fontId="0" fillId="0" borderId="0" xfId="0" applyAlignment="1">
      <alignment horizontal="center"/>
    </xf>
    <xf numFmtId="165" fontId="0" fillId="0" borderId="0" xfId="0" applyNumberFormat="1"/>
    <xf numFmtId="4" fontId="0" fillId="0" borderId="0" xfId="0" applyNumberFormat="1"/>
    <xf numFmtId="0" fontId="0" fillId="0" borderId="0" xfId="0" applyAlignment="1">
      <alignment wrapText="1"/>
    </xf>
    <xf numFmtId="0" fontId="1" fillId="0" borderId="0" xfId="0" applyFont="1" applyAlignment="1">
      <alignment horizontal="center" wrapText="1"/>
    </xf>
    <xf numFmtId="10" fontId="1" fillId="0" borderId="0" xfId="0" applyNumberFormat="1" applyFont="1" applyAlignment="1">
      <alignment horizontal="center" wrapText="1"/>
    </xf>
    <xf numFmtId="0" fontId="4" fillId="2" borderId="0" xfId="0" applyFont="1" applyFill="1" applyAlignment="1">
      <alignment horizontal="left" wrapText="1"/>
    </xf>
    <xf numFmtId="14" fontId="4" fillId="2" borderId="0" xfId="0" applyNumberFormat="1" applyFont="1" applyFill="1" applyAlignment="1">
      <alignment horizontal="left" wrapText="1"/>
    </xf>
    <xf numFmtId="165" fontId="4" fillId="2" borderId="0" xfId="0" applyNumberFormat="1" applyFont="1" applyFill="1" applyAlignment="1">
      <alignment horizontal="left" wrapText="1"/>
    </xf>
    <xf numFmtId="4" fontId="4" fillId="2" borderId="0" xfId="0" applyNumberFormat="1" applyFont="1" applyFill="1" applyAlignment="1">
      <alignment horizontal="left" wrapText="1"/>
    </xf>
    <xf numFmtId="2" fontId="4" fillId="2" borderId="0" xfId="0" applyNumberFormat="1" applyFont="1" applyFill="1" applyAlignment="1">
      <alignment horizontal="left" wrapText="1"/>
    </xf>
    <xf numFmtId="166" fontId="4" fillId="2" borderId="0" xfId="0" applyNumberFormat="1" applyFont="1" applyFill="1" applyAlignment="1">
      <alignment horizontal="left" wrapText="1"/>
    </xf>
    <xf numFmtId="166" fontId="0" fillId="0" borderId="0" xfId="0" applyNumberFormat="1"/>
    <xf numFmtId="164" fontId="4" fillId="2" borderId="0" xfId="0" applyNumberFormat="1" applyFont="1" applyFill="1" applyAlignment="1">
      <alignment horizontal="left" wrapText="1"/>
    </xf>
    <xf numFmtId="167" fontId="4" fillId="2" borderId="0" xfId="0" applyNumberFormat="1" applyFont="1" applyFill="1" applyAlignment="1">
      <alignment horizontal="left" wrapText="1"/>
    </xf>
    <xf numFmtId="167" fontId="0" fillId="0" borderId="0" xfId="0" applyNumberFormat="1"/>
    <xf numFmtId="0" fontId="4" fillId="2" borderId="0" xfId="0" applyNumberFormat="1" applyFont="1" applyFill="1" applyAlignment="1">
      <alignment horizontal="left" wrapText="1"/>
    </xf>
    <xf numFmtId="0" fontId="0" fillId="0" borderId="0" xfId="0" applyNumberFormat="1"/>
    <xf numFmtId="0" fontId="0" fillId="0" borderId="0" xfId="0" pivotButton="1"/>
    <xf numFmtId="0" fontId="0" fillId="0" borderId="0" xfId="0" applyAlignment="1">
      <alignment horizontal="left"/>
    </xf>
    <xf numFmtId="168" fontId="0" fillId="0" borderId="0" xfId="0" applyNumberFormat="1"/>
    <xf numFmtId="44" fontId="0" fillId="0" borderId="0" xfId="0" applyNumberFormat="1"/>
    <xf numFmtId="0" fontId="0" fillId="0" borderId="0" xfId="0" applyAlignment="1">
      <alignment horizontal="left" indent="1"/>
    </xf>
    <xf numFmtId="0" fontId="0" fillId="0" borderId="0" xfId="0" pivotButton="1" applyAlignment="1"/>
    <xf numFmtId="0" fontId="0" fillId="0" borderId="0" xfId="0" applyAlignment="1"/>
    <xf numFmtId="169" fontId="0" fillId="0" borderId="0" xfId="0" applyNumberFormat="1"/>
    <xf numFmtId="10" fontId="0" fillId="0" borderId="0" xfId="0" applyNumberFormat="1"/>
  </cellXfs>
  <cellStyles count="1">
    <cellStyle name="Normal" xfId="0" builtinId="0"/>
  </cellStyles>
  <dxfs count="22">
    <dxf>
      <font>
        <color rgb="FF9C0006"/>
      </font>
      <fill>
        <patternFill>
          <bgColor rgb="FFFFC7CE"/>
        </patternFill>
      </fill>
    </dxf>
    <dxf>
      <fill>
        <patternFill>
          <bgColor theme="9" tint="0.39994506668294322"/>
        </patternFill>
      </fill>
    </dxf>
    <dxf>
      <font>
        <color rgb="FF9C0006"/>
      </font>
      <fill>
        <patternFill>
          <bgColor rgb="FFFFC7CE"/>
        </patternFill>
      </fill>
    </dxf>
    <dxf>
      <alignment wrapText="0"/>
    </dxf>
    <dxf>
      <numFmt numFmtId="34" formatCode="_-&quot;£&quot;* #,##0.00_-;\-&quot;£&quot;* #,##0.00_-;_-&quot;£&quot;* &quot;-&quot;??_-;_-@_-"/>
    </dxf>
    <dxf>
      <numFmt numFmtId="34" formatCode="_-&quot;£&quot;* #,##0.00_-;\-&quot;£&quot;* #,##0.00_-;_-&quot;£&quot;* &quot;-&quot;??_-;_-@_-"/>
    </dxf>
    <dxf>
      <alignment wrapText="0"/>
    </dxf>
    <dxf>
      <numFmt numFmtId="34" formatCode="_-&quot;£&quot;* #,##0.00_-;\-&quot;£&quot;* #,##0.00_-;_-&quot;£&quot;* &quot;-&quot;??_-;_-@_-"/>
    </dxf>
    <dxf>
      <numFmt numFmtId="34" formatCode="_-&quot;£&quot;* #,##0.00_-;\-&quot;£&quot;* #,##0.00_-;_-&quot;£&quot;* &quot;-&quot;??_-;_-@_-"/>
    </dxf>
    <dxf>
      <numFmt numFmtId="168" formatCode="#,##0.00_ ;[Red]\-#,##0.00\ "/>
    </dxf>
    <dxf>
      <numFmt numFmtId="34" formatCode="_-&quot;£&quot;* #,##0.00_-;\-&quot;£&quot;* #,##0.00_-;_-&quot;£&quot;* &quot;-&quot;??_-;_-@_-"/>
    </dxf>
    <dxf>
      <numFmt numFmtId="34" formatCode="_-&quot;£&quot;* #,##0.00_-;\-&quot;£&quot;* #,##0.00_-;_-&quot;£&quot;* &quot;-&quot;??_-;_-@_-"/>
    </dxf>
    <dxf>
      <numFmt numFmtId="14" formatCode="0.00%"/>
    </dxf>
    <dxf>
      <alignment wrapText="0"/>
    </dxf>
    <dxf>
      <alignment wrapText="0"/>
    </dxf>
    <dxf>
      <alignment wrapText="0"/>
    </dxf>
    <dxf>
      <alignment wrapText="0"/>
    </dxf>
    <dxf>
      <alignment wrapText="0"/>
    </dxf>
    <dxf>
      <alignment wrapText="0"/>
    </dxf>
    <dxf>
      <alignment wrapText="0"/>
    </dxf>
    <dxf>
      <alignment wrapText="0"/>
    </dxf>
    <dxf>
      <alignment wrapText="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[amazon_sales_dashboard.xlsx]Pivot(s)!Revenue_region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REGION</a:t>
            </a:r>
            <a:endParaRPr lang="en-US" b="1"/>
          </a:p>
        </c:rich>
      </c:tx>
      <c:layout>
        <c:manualLayout>
          <c:xMode val="edge"/>
          <c:yMode val="edge"/>
          <c:x val="0.34046218832020997"/>
          <c:y val="5.50678291650325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'Pivot(s)'!$B$2</c:f>
              <c:strCache>
                <c:ptCount val="1"/>
                <c:pt idx="0">
                  <c:v>Total</c:v>
                </c:pt>
              </c:strCache>
            </c:strRef>
          </c:tx>
          <c:spPr>
            <a:solidFill>
              <a:schemeClr val="accent1"/>
            </a:solidFill>
            <a:ln>
              <a:noFill/>
            </a:ln>
            <a:effectLst/>
            <a:sp3d/>
          </c:spPr>
          <c:invertIfNegative val="0"/>
          <c:cat>
            <c:strRef>
              <c:f>'Pivot(s)'!$A$3:$A$9</c:f>
              <c:strCache>
                <c:ptCount val="6"/>
                <c:pt idx="0">
                  <c:v>North</c:v>
                </c:pt>
                <c:pt idx="1">
                  <c:v>West</c:v>
                </c:pt>
                <c:pt idx="2">
                  <c:v>East</c:v>
                </c:pt>
                <c:pt idx="3">
                  <c:v>London</c:v>
                </c:pt>
                <c:pt idx="4">
                  <c:v>South</c:v>
                </c:pt>
                <c:pt idx="5">
                  <c:v>Midlands</c:v>
                </c:pt>
              </c:strCache>
            </c:strRef>
          </c:cat>
          <c:val>
            <c:numRef>
              <c:f>'Pivot(s)'!$B$3:$B$9</c:f>
              <c:numCache>
                <c:formatCode>_("£"* #,##0.00_);_("£"* \(#,##0.00\);_("£"* "-"??_);_(@_)</c:formatCode>
                <c:ptCount val="6"/>
                <c:pt idx="0">
                  <c:v>285456.77900000004</c:v>
                </c:pt>
                <c:pt idx="1">
                  <c:v>189700.19750000004</c:v>
                </c:pt>
                <c:pt idx="2">
                  <c:v>156672.38250000001</c:v>
                </c:pt>
                <c:pt idx="3">
                  <c:v>146026.58749999997</c:v>
                </c:pt>
                <c:pt idx="4">
                  <c:v>130214.8645</c:v>
                </c:pt>
                <c:pt idx="5">
                  <c:v>88751.634999999995</c:v>
                </c:pt>
              </c:numCache>
            </c:numRef>
          </c:val>
          <c:extLst>
            <c:ext xmlns:c16="http://schemas.microsoft.com/office/drawing/2014/chart" uri="{C3380CC4-5D6E-409C-BE32-E72D297353CC}">
              <c16:uniqueId val="{00000000-9205-4A71-919E-C61582296C85}"/>
            </c:ext>
          </c:extLst>
        </c:ser>
        <c:dLbls>
          <c:showLegendKey val="0"/>
          <c:showVal val="0"/>
          <c:showCatName val="0"/>
          <c:showSerName val="0"/>
          <c:showPercent val="0"/>
          <c:showBubbleSize val="0"/>
        </c:dLbls>
        <c:gapWidth val="150"/>
        <c:shape val="box"/>
        <c:axId val="194957152"/>
        <c:axId val="194963392"/>
        <c:axId val="0"/>
      </c:bar3DChart>
      <c:catAx>
        <c:axId val="1949571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63392"/>
        <c:crosses val="autoZero"/>
        <c:auto val="1"/>
        <c:lblAlgn val="ctr"/>
        <c:lblOffset val="100"/>
        <c:noMultiLvlLbl val="0"/>
      </c:catAx>
      <c:valAx>
        <c:axId val="194963392"/>
        <c:scaling>
          <c:orientation val="minMax"/>
        </c:scaling>
        <c:delete val="0"/>
        <c:axPos val="l"/>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57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[amazon_sales_dashboard.xlsx]Pivot(s)!Order_distribution</c:name>
    <c:fmtId val="3"/>
  </c:pivotSource>
  <c:chart>
    <c:title>
      <c:tx>
        <c:rich>
          <a:bodyPr rot="0" spcFirstLastPara="1" vertOverflow="ellipsis" vert="horz" wrap="square" anchor="ctr" anchorCtr="1"/>
          <a:lstStyle/>
          <a:p>
            <a:pPr algn="ctr">
              <a:defRPr sz="1400" b="1" i="0" u="none" strike="noStrike" kern="1200" cap="all" spc="50" baseline="0">
                <a:solidFill>
                  <a:schemeClr val="tx1">
                    <a:lumMod val="65000"/>
                    <a:lumOff val="35000"/>
                  </a:schemeClr>
                </a:solidFill>
                <a:latin typeface="+mn-lt"/>
                <a:ea typeface="+mn-ea"/>
                <a:cs typeface="+mn-cs"/>
              </a:defRPr>
            </a:pPr>
            <a:r>
              <a:rPr lang="en-GB"/>
              <a:t>Order Status DISTRIBUTION</a:t>
            </a:r>
          </a:p>
        </c:rich>
      </c:tx>
      <c:layout>
        <c:manualLayout>
          <c:xMode val="edge"/>
          <c:yMode val="edge"/>
          <c:x val="9.2137921439206877E-2"/>
          <c:y val="4.5380638325081761E-2"/>
        </c:manualLayout>
      </c:layout>
      <c:overlay val="0"/>
      <c:spPr>
        <a:noFill/>
        <a:ln>
          <a:noFill/>
        </a:ln>
        <a:effectLst/>
      </c:spPr>
      <c:txPr>
        <a:bodyPr rot="0" spcFirstLastPara="1" vertOverflow="ellipsis" vert="horz" wrap="square" anchor="ctr" anchorCtr="1"/>
        <a:lstStyle/>
        <a:p>
          <a:pPr algn="ct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6144915143525609"/>
          <c:y val="0.16219484759527009"/>
          <c:w val="0.55359009988004892"/>
          <c:h val="0.77276450199822588"/>
        </c:manualLayout>
      </c:layout>
      <c:doughnutChart>
        <c:varyColors val="1"/>
        <c:ser>
          <c:idx val="0"/>
          <c:order val="0"/>
          <c:tx>
            <c:strRef>
              <c:f>'Pivot(s)'!$K$34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5A5-477A-8A5A-46039328B6F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5A5-477A-8A5A-46039328B6F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'Pivot(s)'!$J$35:$J$37</c:f>
              <c:strCache>
                <c:ptCount val="2"/>
                <c:pt idx="0">
                  <c:v>Completed</c:v>
                </c:pt>
                <c:pt idx="1">
                  <c:v>Cancelled</c:v>
                </c:pt>
              </c:strCache>
            </c:strRef>
          </c:cat>
          <c:val>
            <c:numRef>
              <c:f>'Pivot(s)'!$K$35:$K$37</c:f>
              <c:numCache>
                <c:formatCode>General</c:formatCode>
                <c:ptCount val="2"/>
                <c:pt idx="0">
                  <c:v>143</c:v>
                </c:pt>
                <c:pt idx="1">
                  <c:v>57</c:v>
                </c:pt>
              </c:numCache>
            </c:numRef>
          </c:val>
          <c:extLst>
            <c:ext xmlns:c16="http://schemas.microsoft.com/office/drawing/2014/chart" uri="{C3380CC4-5D6E-409C-BE32-E72D297353CC}">
              <c16:uniqueId val="{00000000-5FD8-4842-8BB6-7053AF9B256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[amazon_sales_dashboard.xlsx]Pivot(s)!Revenue_trend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MONTHLY REVENUE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'Pivot(s)'!$K$2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'Pivot(s)'!$J$3:$J$26</c:f>
              <c:multiLvlStrCache>
                <c:ptCount val="21"/>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Oct</c:v>
                  </c:pt>
                  <c:pt idx="19">
                    <c:v>Nov</c:v>
                  </c:pt>
                  <c:pt idx="20">
                    <c:v>Dec</c:v>
                  </c:pt>
                </c:lvl>
                <c:lvl>
                  <c:pt idx="0">
                    <c:v>2024</c:v>
                  </c:pt>
                  <c:pt idx="12">
                    <c:v>2025</c:v>
                  </c:pt>
                </c:lvl>
              </c:multiLvlStrCache>
            </c:multiLvlStrRef>
          </c:cat>
          <c:val>
            <c:numRef>
              <c:f>'Pivot(s)'!$K$3:$K$26</c:f>
              <c:numCache>
                <c:formatCode>_("£"* #,##0.00_);_("£"* \(#,##0.00\);_("£"* "-"??_);_(@_)</c:formatCode>
                <c:ptCount val="21"/>
                <c:pt idx="0">
                  <c:v>80315.320500000002</c:v>
                </c:pt>
                <c:pt idx="1">
                  <c:v>36951.603999999999</c:v>
                </c:pt>
                <c:pt idx="2">
                  <c:v>67318.129000000015</c:v>
                </c:pt>
                <c:pt idx="3">
                  <c:v>96286.611999999994</c:v>
                </c:pt>
                <c:pt idx="4">
                  <c:v>50769.307000000001</c:v>
                </c:pt>
                <c:pt idx="5">
                  <c:v>40241.530500000001</c:v>
                </c:pt>
                <c:pt idx="6">
                  <c:v>83256.084999999992</c:v>
                </c:pt>
                <c:pt idx="7">
                  <c:v>37208.283000000003</c:v>
                </c:pt>
                <c:pt idx="8">
                  <c:v>86364.70749999999</c:v>
                </c:pt>
                <c:pt idx="9">
                  <c:v>45442.874500000005</c:v>
                </c:pt>
                <c:pt idx="10">
                  <c:v>91304.128999999986</c:v>
                </c:pt>
                <c:pt idx="11">
                  <c:v>59430.889500000005</c:v>
                </c:pt>
                <c:pt idx="12">
                  <c:v>34349.402999999998</c:v>
                </c:pt>
                <c:pt idx="13">
                  <c:v>45994.587</c:v>
                </c:pt>
                <c:pt idx="14">
                  <c:v>61217.585500000001</c:v>
                </c:pt>
                <c:pt idx="15">
                  <c:v>44381.442999999999</c:v>
                </c:pt>
                <c:pt idx="16">
                  <c:v>1763.8794999999993</c:v>
                </c:pt>
                <c:pt idx="17">
                  <c:v>12966.172500000001</c:v>
                </c:pt>
                <c:pt idx="18">
                  <c:v>1946.6370000000004</c:v>
                </c:pt>
                <c:pt idx="19">
                  <c:v>7998.2160000000003</c:v>
                </c:pt>
                <c:pt idx="20">
                  <c:v>11315.050999999999</c:v>
                </c:pt>
              </c:numCache>
            </c:numRef>
          </c:val>
          <c:smooth val="0"/>
          <c:extLst>
            <c:ext xmlns:c16="http://schemas.microsoft.com/office/drawing/2014/chart" uri="{C3380CC4-5D6E-409C-BE32-E72D297353CC}">
              <c16:uniqueId val="{00000000-5C08-46DC-9AAB-FCE96FC451DE}"/>
            </c:ext>
          </c:extLst>
        </c:ser>
        <c:dLbls>
          <c:showLegendKey val="0"/>
          <c:showVal val="0"/>
          <c:showCatName val="0"/>
          <c:showSerName val="0"/>
          <c:showPercent val="0"/>
          <c:showBubbleSize val="0"/>
        </c:dLbls>
        <c:marker val="1"/>
        <c:smooth val="0"/>
        <c:axId val="1959481360"/>
        <c:axId val="1959479920"/>
      </c:lineChart>
      <c:catAx>
        <c:axId val="195948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479920"/>
        <c:crosses val="autoZero"/>
        <c:auto val="1"/>
        <c:lblAlgn val="ctr"/>
        <c:lblOffset val="100"/>
        <c:noMultiLvlLbl val="0"/>
      </c:catAx>
      <c:valAx>
        <c:axId val="195947992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481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[amazon_sales_dashboard.xlsx]Pivot(s)!Revenue_category</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'Pivot(s)'!$B$16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D87-44B0-82F9-63C19C2408A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D87-44B0-82F9-63C19C2408A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D87-44B0-82F9-63C19C2408A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'Pivot(s)'!$A$17:$A$20</c:f>
              <c:strCache>
                <c:ptCount val="3"/>
                <c:pt idx="0">
                  <c:v>Technology</c:v>
                </c:pt>
                <c:pt idx="1">
                  <c:v>Office Supplies</c:v>
                </c:pt>
                <c:pt idx="2">
                  <c:v>Furniture</c:v>
                </c:pt>
              </c:strCache>
            </c:strRef>
          </c:cat>
          <c:val>
            <c:numRef>
              <c:f>'Pivot(s)'!$B$17:$B$20</c:f>
              <c:numCache>
                <c:formatCode>_("£"* #,##0.00_);_("£"* \(#,##0.00\);_("£"* "-"??_);_(@_)</c:formatCode>
                <c:ptCount val="3"/>
                <c:pt idx="0">
                  <c:v>121735.60550000005</c:v>
                </c:pt>
                <c:pt idx="1">
                  <c:v>89762.447</c:v>
                </c:pt>
                <c:pt idx="2">
                  <c:v>54681.473499999993</c:v>
                </c:pt>
              </c:numCache>
            </c:numRef>
          </c:val>
          <c:extLst>
            <c:ext xmlns:c16="http://schemas.microsoft.com/office/drawing/2014/chart" uri="{C3380CC4-5D6E-409C-BE32-E72D297353CC}">
              <c16:uniqueId val="{00000000-BF69-49C1-8DCC-19ED8EC1653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[amazon_sales_dashboard.xlsx]Pivot(s)!Top_customers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a:t>
            </a:r>
            <a:r>
              <a:rPr lang="en-US" b="1" baseline="0"/>
              <a:t> CUSTOMERS BY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'Pivot(s)'!$B$31</c:f>
              <c:strCache>
                <c:ptCount val="1"/>
                <c:pt idx="0">
                  <c:v>Total</c:v>
                </c:pt>
              </c:strCache>
            </c:strRef>
          </c:tx>
          <c:spPr>
            <a:solidFill>
              <a:schemeClr val="accent1"/>
            </a:solidFill>
            <a:ln>
              <a:noFill/>
            </a:ln>
            <a:effectLst/>
            <a:sp3d/>
          </c:spPr>
          <c:invertIfNegative val="0"/>
          <c:cat>
            <c:strRef>
              <c:f>'Pivot(s)'!$A$32:$A$42</c:f>
              <c:strCache>
                <c:ptCount val="10"/>
                <c:pt idx="0">
                  <c:v>CUST1045</c:v>
                </c:pt>
                <c:pt idx="1">
                  <c:v>CUST1072</c:v>
                </c:pt>
                <c:pt idx="2">
                  <c:v>CUST1043</c:v>
                </c:pt>
                <c:pt idx="3">
                  <c:v>CUST1063</c:v>
                </c:pt>
                <c:pt idx="4">
                  <c:v>CUST1075</c:v>
                </c:pt>
                <c:pt idx="5">
                  <c:v>CUST1028</c:v>
                </c:pt>
                <c:pt idx="6">
                  <c:v>CUST1005</c:v>
                </c:pt>
                <c:pt idx="7">
                  <c:v>CUST1081</c:v>
                </c:pt>
                <c:pt idx="8">
                  <c:v>CUST1082</c:v>
                </c:pt>
                <c:pt idx="9">
                  <c:v>CUST1098</c:v>
                </c:pt>
              </c:strCache>
            </c:strRef>
          </c:cat>
          <c:val>
            <c:numRef>
              <c:f>'Pivot(s)'!$B$32:$B$42</c:f>
              <c:numCache>
                <c:formatCode>_("£"* #,##0.00_);_("£"* \(#,##0.00\);_("£"* "-"??_);_(@_)</c:formatCode>
                <c:ptCount val="10"/>
                <c:pt idx="0">
                  <c:v>33935.123</c:v>
                </c:pt>
                <c:pt idx="1">
                  <c:v>32243.322999999997</c:v>
                </c:pt>
                <c:pt idx="2">
                  <c:v>31267.897499999992</c:v>
                </c:pt>
                <c:pt idx="3">
                  <c:v>29612.402999999998</c:v>
                </c:pt>
                <c:pt idx="4">
                  <c:v>28466.925500000001</c:v>
                </c:pt>
                <c:pt idx="5">
                  <c:v>27705.4035</c:v>
                </c:pt>
                <c:pt idx="6">
                  <c:v>27252.428499999998</c:v>
                </c:pt>
                <c:pt idx="7">
                  <c:v>26096.295000000002</c:v>
                </c:pt>
                <c:pt idx="8">
                  <c:v>25571.305999999997</c:v>
                </c:pt>
                <c:pt idx="9">
                  <c:v>24788.699999999997</c:v>
                </c:pt>
              </c:numCache>
            </c:numRef>
          </c:val>
          <c:extLst>
            <c:ext xmlns:c16="http://schemas.microsoft.com/office/drawing/2014/chart" uri="{C3380CC4-5D6E-409C-BE32-E72D297353CC}">
              <c16:uniqueId val="{00000000-EA72-4BDD-8D38-8E8E1CF7338B}"/>
            </c:ext>
          </c:extLst>
        </c:ser>
        <c:dLbls>
          <c:showLegendKey val="0"/>
          <c:showVal val="0"/>
          <c:showCatName val="0"/>
          <c:showSerName val="0"/>
          <c:showPercent val="0"/>
          <c:showBubbleSize val="0"/>
        </c:dLbls>
        <c:gapWidth val="150"/>
        <c:shape val="box"/>
        <c:axId val="231055024"/>
        <c:axId val="231055504"/>
        <c:axId val="0"/>
      </c:bar3DChart>
      <c:catAx>
        <c:axId val="23105502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055504"/>
        <c:crosses val="autoZero"/>
        <c:auto val="1"/>
        <c:lblAlgn val="ctr"/>
        <c:lblOffset val="100"/>
        <c:noMultiLvlLbl val="0"/>
      </c:catAx>
      <c:valAx>
        <c:axId val="231055504"/>
        <c:scaling>
          <c:orientation val="minMax"/>
        </c:scaling>
        <c:delete val="0"/>
        <c:axPos val="l"/>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055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[amazon_sales_dashboard.xlsx]Pivot(s)!Payment_method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 METHOD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505160539143133"/>
          <c:y val="0.16727694090382389"/>
          <c:w val="0.85494839460856864"/>
          <c:h val="0.62328336420288133"/>
        </c:manualLayout>
      </c:layout>
      <c:bar3DChart>
        <c:barDir val="col"/>
        <c:grouping val="clustered"/>
        <c:varyColors val="0"/>
        <c:ser>
          <c:idx val="0"/>
          <c:order val="0"/>
          <c:tx>
            <c:strRef>
              <c:f>'Pivot(s)'!$B$48</c:f>
              <c:strCache>
                <c:ptCount val="1"/>
                <c:pt idx="0">
                  <c:v>Total</c:v>
                </c:pt>
              </c:strCache>
            </c:strRef>
          </c:tx>
          <c:spPr>
            <a:solidFill>
              <a:schemeClr val="accent1"/>
            </a:solidFill>
            <a:ln>
              <a:noFill/>
            </a:ln>
            <a:effectLst/>
            <a:sp3d/>
          </c:spPr>
          <c:invertIfNegative val="0"/>
          <c:cat>
            <c:strRef>
              <c:f>'Pivot(s)'!$A$49:$A$53</c:f>
              <c:strCache>
                <c:ptCount val="4"/>
                <c:pt idx="0">
                  <c:v>Cash</c:v>
                </c:pt>
                <c:pt idx="1">
                  <c:v>Bank Transfer</c:v>
                </c:pt>
                <c:pt idx="2">
                  <c:v>Paypal</c:v>
                </c:pt>
                <c:pt idx="3">
                  <c:v>Card</c:v>
                </c:pt>
              </c:strCache>
            </c:strRef>
          </c:cat>
          <c:val>
            <c:numRef>
              <c:f>'Pivot(s)'!$B$49:$B$53</c:f>
              <c:numCache>
                <c:formatCode>General</c:formatCode>
                <c:ptCount val="4"/>
                <c:pt idx="0">
                  <c:v>53</c:v>
                </c:pt>
                <c:pt idx="1">
                  <c:v>51</c:v>
                </c:pt>
                <c:pt idx="2">
                  <c:v>48</c:v>
                </c:pt>
                <c:pt idx="3">
                  <c:v>48</c:v>
                </c:pt>
              </c:numCache>
            </c:numRef>
          </c:val>
          <c:extLst>
            <c:ext xmlns:c16="http://schemas.microsoft.com/office/drawing/2014/chart" uri="{C3380CC4-5D6E-409C-BE32-E72D297353CC}">
              <c16:uniqueId val="{00000000-AE1B-4B36-B04F-2DDCFF80BE9E}"/>
            </c:ext>
          </c:extLst>
        </c:ser>
        <c:dLbls>
          <c:showLegendKey val="0"/>
          <c:showVal val="0"/>
          <c:showCatName val="0"/>
          <c:showSerName val="0"/>
          <c:showPercent val="0"/>
          <c:showBubbleSize val="0"/>
        </c:dLbls>
        <c:gapWidth val="150"/>
        <c:shape val="box"/>
        <c:axId val="861669600"/>
        <c:axId val="861665280"/>
        <c:axId val="0"/>
      </c:bar3DChart>
      <c:catAx>
        <c:axId val="861669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665280"/>
        <c:crosses val="autoZero"/>
        <c:auto val="1"/>
        <c:lblAlgn val="ctr"/>
        <c:lblOffset val="100"/>
        <c:noMultiLvlLbl val="0"/>
      </c:catAx>
      <c:valAx>
        <c:axId val="861665280"/>
        <c:scaling>
          <c:orientation val="minMax"/>
        </c:scaling>
        <c:delete val="1"/>
        <c:axPos val="l"/>
        <c:numFmt formatCode="General" sourceLinked="1"/>
        <c:majorTickMark val="none"/>
        <c:minorTickMark val="none"/>
        <c:tickLblPos val="nextTo"/>
        <c:crossAx val="8616696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[amazon_sales_dashboard.xlsx]Pivot(s)!Revenue_region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REGION</a:t>
            </a:r>
            <a:endParaRPr lang="en-US" b="1"/>
          </a:p>
        </c:rich>
      </c:tx>
      <c:layout>
        <c:manualLayout>
          <c:xMode val="edge"/>
          <c:yMode val="edge"/>
          <c:x val="0.34046218832020997"/>
          <c:y val="5.50678291650325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'Pivot(s)'!$B$2</c:f>
              <c:strCache>
                <c:ptCount val="1"/>
                <c:pt idx="0">
                  <c:v>Total</c:v>
                </c:pt>
              </c:strCache>
            </c:strRef>
          </c:tx>
          <c:spPr>
            <a:solidFill>
              <a:schemeClr val="accent1"/>
            </a:solidFill>
            <a:ln>
              <a:noFill/>
            </a:ln>
            <a:effectLst/>
            <a:sp3d/>
          </c:spPr>
          <c:invertIfNegative val="0"/>
          <c:cat>
            <c:strRef>
              <c:f>'Pivot(s)'!$A$3:$A$9</c:f>
              <c:strCache>
                <c:ptCount val="6"/>
                <c:pt idx="0">
                  <c:v>North</c:v>
                </c:pt>
                <c:pt idx="1">
                  <c:v>West</c:v>
                </c:pt>
                <c:pt idx="2">
                  <c:v>East</c:v>
                </c:pt>
                <c:pt idx="3">
                  <c:v>London</c:v>
                </c:pt>
                <c:pt idx="4">
                  <c:v>South</c:v>
                </c:pt>
                <c:pt idx="5">
                  <c:v>Midlands</c:v>
                </c:pt>
              </c:strCache>
            </c:strRef>
          </c:cat>
          <c:val>
            <c:numRef>
              <c:f>'Pivot(s)'!$B$3:$B$9</c:f>
              <c:numCache>
                <c:formatCode>_("£"* #,##0.00_);_("£"* \(#,##0.00\);_("£"* "-"??_);_(@_)</c:formatCode>
                <c:ptCount val="6"/>
                <c:pt idx="0">
                  <c:v>285456.77900000004</c:v>
                </c:pt>
                <c:pt idx="1">
                  <c:v>189700.19750000004</c:v>
                </c:pt>
                <c:pt idx="2">
                  <c:v>156672.38250000001</c:v>
                </c:pt>
                <c:pt idx="3">
                  <c:v>146026.58749999997</c:v>
                </c:pt>
                <c:pt idx="4">
                  <c:v>130214.8645</c:v>
                </c:pt>
                <c:pt idx="5">
                  <c:v>88751.634999999995</c:v>
                </c:pt>
              </c:numCache>
            </c:numRef>
          </c:val>
          <c:extLst>
            <c:ext xmlns:c16="http://schemas.microsoft.com/office/drawing/2014/chart" uri="{C3380CC4-5D6E-409C-BE32-E72D297353CC}">
              <c16:uniqueId val="{00000000-69EE-40A1-9D62-170EC7166AB8}"/>
            </c:ext>
          </c:extLst>
        </c:ser>
        <c:dLbls>
          <c:showLegendKey val="0"/>
          <c:showVal val="0"/>
          <c:showCatName val="0"/>
          <c:showSerName val="0"/>
          <c:showPercent val="0"/>
          <c:showBubbleSize val="0"/>
        </c:dLbls>
        <c:gapWidth val="150"/>
        <c:shape val="box"/>
        <c:axId val="194957152"/>
        <c:axId val="194963392"/>
        <c:axId val="0"/>
      </c:bar3DChart>
      <c:catAx>
        <c:axId val="1949571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63392"/>
        <c:crosses val="autoZero"/>
        <c:auto val="1"/>
        <c:lblAlgn val="ctr"/>
        <c:lblOffset val="100"/>
        <c:noMultiLvlLbl val="0"/>
      </c:catAx>
      <c:valAx>
        <c:axId val="194963392"/>
        <c:scaling>
          <c:orientation val="minMax"/>
        </c:scaling>
        <c:delete val="0"/>
        <c:axPos val="l"/>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57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[amazon_sales_dashboard.xlsx]Pivot(s)!Top_customers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a:t>
            </a:r>
            <a:r>
              <a:rPr lang="en-US" b="1" baseline="0"/>
              <a:t> CUSTOMERS BY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'Pivot(s)'!$B$31</c:f>
              <c:strCache>
                <c:ptCount val="1"/>
                <c:pt idx="0">
                  <c:v>Total</c:v>
                </c:pt>
              </c:strCache>
            </c:strRef>
          </c:tx>
          <c:spPr>
            <a:solidFill>
              <a:schemeClr val="accent1"/>
            </a:solidFill>
            <a:ln>
              <a:noFill/>
            </a:ln>
            <a:effectLst/>
            <a:sp3d/>
          </c:spPr>
          <c:invertIfNegative val="0"/>
          <c:cat>
            <c:strRef>
              <c:f>'Pivot(s)'!$A$32:$A$42</c:f>
              <c:strCache>
                <c:ptCount val="10"/>
                <c:pt idx="0">
                  <c:v>CUST1045</c:v>
                </c:pt>
                <c:pt idx="1">
                  <c:v>CUST1072</c:v>
                </c:pt>
                <c:pt idx="2">
                  <c:v>CUST1043</c:v>
                </c:pt>
                <c:pt idx="3">
                  <c:v>CUST1063</c:v>
                </c:pt>
                <c:pt idx="4">
                  <c:v>CUST1075</c:v>
                </c:pt>
                <c:pt idx="5">
                  <c:v>CUST1028</c:v>
                </c:pt>
                <c:pt idx="6">
                  <c:v>CUST1005</c:v>
                </c:pt>
                <c:pt idx="7">
                  <c:v>CUST1081</c:v>
                </c:pt>
                <c:pt idx="8">
                  <c:v>CUST1082</c:v>
                </c:pt>
                <c:pt idx="9">
                  <c:v>CUST1098</c:v>
                </c:pt>
              </c:strCache>
            </c:strRef>
          </c:cat>
          <c:val>
            <c:numRef>
              <c:f>'Pivot(s)'!$B$32:$B$42</c:f>
              <c:numCache>
                <c:formatCode>_("£"* #,##0.00_);_("£"* \(#,##0.00\);_("£"* "-"??_);_(@_)</c:formatCode>
                <c:ptCount val="10"/>
                <c:pt idx="0">
                  <c:v>33935.123</c:v>
                </c:pt>
                <c:pt idx="1">
                  <c:v>32243.322999999997</c:v>
                </c:pt>
                <c:pt idx="2">
                  <c:v>31267.897499999992</c:v>
                </c:pt>
                <c:pt idx="3">
                  <c:v>29612.402999999998</c:v>
                </c:pt>
                <c:pt idx="4">
                  <c:v>28466.925500000001</c:v>
                </c:pt>
                <c:pt idx="5">
                  <c:v>27705.4035</c:v>
                </c:pt>
                <c:pt idx="6">
                  <c:v>27252.428499999998</c:v>
                </c:pt>
                <c:pt idx="7">
                  <c:v>26096.295000000002</c:v>
                </c:pt>
                <c:pt idx="8">
                  <c:v>25571.305999999997</c:v>
                </c:pt>
                <c:pt idx="9">
                  <c:v>24788.699999999997</c:v>
                </c:pt>
              </c:numCache>
            </c:numRef>
          </c:val>
          <c:extLst>
            <c:ext xmlns:c16="http://schemas.microsoft.com/office/drawing/2014/chart" uri="{C3380CC4-5D6E-409C-BE32-E72D297353CC}">
              <c16:uniqueId val="{00000000-982B-4765-A7E8-A88E8391CC65}"/>
            </c:ext>
          </c:extLst>
        </c:ser>
        <c:dLbls>
          <c:showLegendKey val="0"/>
          <c:showVal val="0"/>
          <c:showCatName val="0"/>
          <c:showSerName val="0"/>
          <c:showPercent val="0"/>
          <c:showBubbleSize val="0"/>
        </c:dLbls>
        <c:gapWidth val="150"/>
        <c:shape val="box"/>
        <c:axId val="231055024"/>
        <c:axId val="231055504"/>
        <c:axId val="0"/>
      </c:bar3DChart>
      <c:catAx>
        <c:axId val="23105502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055504"/>
        <c:crosses val="autoZero"/>
        <c:auto val="1"/>
        <c:lblAlgn val="ctr"/>
        <c:lblOffset val="100"/>
        <c:noMultiLvlLbl val="0"/>
      </c:catAx>
      <c:valAx>
        <c:axId val="231055504"/>
        <c:scaling>
          <c:orientation val="minMax"/>
        </c:scaling>
        <c:delete val="0"/>
        <c:axPos val="l"/>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055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[amazon_sales_dashboard.xlsx]Pivot(s)!Revenue_trend</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MONTHLY REVENUE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'Pivot(s)'!$K$2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'Pivot(s)'!$J$3:$J$26</c:f>
              <c:multiLvlStrCache>
                <c:ptCount val="21"/>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Oct</c:v>
                  </c:pt>
                  <c:pt idx="19">
                    <c:v>Nov</c:v>
                  </c:pt>
                  <c:pt idx="20">
                    <c:v>Dec</c:v>
                  </c:pt>
                </c:lvl>
                <c:lvl>
                  <c:pt idx="0">
                    <c:v>2024</c:v>
                  </c:pt>
                  <c:pt idx="12">
                    <c:v>2025</c:v>
                  </c:pt>
                </c:lvl>
              </c:multiLvlStrCache>
            </c:multiLvlStrRef>
          </c:cat>
          <c:val>
            <c:numRef>
              <c:f>'Pivot(s)'!$K$3:$K$26</c:f>
              <c:numCache>
                <c:formatCode>_("£"* #,##0.00_);_("£"* \(#,##0.00\);_("£"* "-"??_);_(@_)</c:formatCode>
                <c:ptCount val="21"/>
                <c:pt idx="0">
                  <c:v>80315.320500000002</c:v>
                </c:pt>
                <c:pt idx="1">
                  <c:v>36951.603999999999</c:v>
                </c:pt>
                <c:pt idx="2">
                  <c:v>67318.129000000015</c:v>
                </c:pt>
                <c:pt idx="3">
                  <c:v>96286.611999999994</c:v>
                </c:pt>
                <c:pt idx="4">
                  <c:v>50769.307000000001</c:v>
                </c:pt>
                <c:pt idx="5">
                  <c:v>40241.530500000001</c:v>
                </c:pt>
                <c:pt idx="6">
                  <c:v>83256.084999999992</c:v>
                </c:pt>
                <c:pt idx="7">
                  <c:v>37208.283000000003</c:v>
                </c:pt>
                <c:pt idx="8">
                  <c:v>86364.70749999999</c:v>
                </c:pt>
                <c:pt idx="9">
                  <c:v>45442.874500000005</c:v>
                </c:pt>
                <c:pt idx="10">
                  <c:v>91304.128999999986</c:v>
                </c:pt>
                <c:pt idx="11">
                  <c:v>59430.889500000005</c:v>
                </c:pt>
                <c:pt idx="12">
                  <c:v>34349.402999999998</c:v>
                </c:pt>
                <c:pt idx="13">
                  <c:v>45994.587</c:v>
                </c:pt>
                <c:pt idx="14">
                  <c:v>61217.585500000001</c:v>
                </c:pt>
                <c:pt idx="15">
                  <c:v>44381.442999999999</c:v>
                </c:pt>
                <c:pt idx="16">
                  <c:v>1763.8794999999993</c:v>
                </c:pt>
                <c:pt idx="17">
                  <c:v>12966.172500000001</c:v>
                </c:pt>
                <c:pt idx="18">
                  <c:v>1946.6370000000004</c:v>
                </c:pt>
                <c:pt idx="19">
                  <c:v>7998.2160000000003</c:v>
                </c:pt>
                <c:pt idx="20">
                  <c:v>11315.050999999999</c:v>
                </c:pt>
              </c:numCache>
            </c:numRef>
          </c:val>
          <c:smooth val="0"/>
          <c:extLst>
            <c:ext xmlns:c16="http://schemas.microsoft.com/office/drawing/2014/chart" uri="{C3380CC4-5D6E-409C-BE32-E72D297353CC}">
              <c16:uniqueId val="{00000000-2764-4D6D-BBD2-D2AB4C6AF357}"/>
            </c:ext>
          </c:extLst>
        </c:ser>
        <c:dLbls>
          <c:showLegendKey val="0"/>
          <c:showVal val="0"/>
          <c:showCatName val="0"/>
          <c:showSerName val="0"/>
          <c:showPercent val="0"/>
          <c:showBubbleSize val="0"/>
        </c:dLbls>
        <c:marker val="1"/>
        <c:smooth val="0"/>
        <c:axId val="1959481360"/>
        <c:axId val="1959479920"/>
      </c:lineChart>
      <c:catAx>
        <c:axId val="195948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479920"/>
        <c:crosses val="autoZero"/>
        <c:auto val="1"/>
        <c:lblAlgn val="ctr"/>
        <c:lblOffset val="100"/>
        <c:noMultiLvlLbl val="0"/>
      </c:catAx>
      <c:valAx>
        <c:axId val="195947992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481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[amazon_sales_dashboard.xlsx]Pivot(s)!Revenue_category</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'Pivot(s)'!$B$16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687-4E02-A55A-F4FE412B46F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687-4E02-A55A-F4FE412B46F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687-4E02-A55A-F4FE412B46F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'Pivot(s)'!$A$17:$A$20</c:f>
              <c:strCache>
                <c:ptCount val="3"/>
                <c:pt idx="0">
                  <c:v>Technology</c:v>
                </c:pt>
                <c:pt idx="1">
                  <c:v>Office Supplies</c:v>
                </c:pt>
                <c:pt idx="2">
                  <c:v>Furniture</c:v>
                </c:pt>
              </c:strCache>
            </c:strRef>
          </c:cat>
          <c:val>
            <c:numRef>
              <c:f>'Pivot(s)'!$B$17:$B$20</c:f>
              <c:numCache>
                <c:formatCode>_("£"* #,##0.00_);_("£"* \(#,##0.00\);_("£"* "-"??_);_(@_)</c:formatCode>
                <c:ptCount val="3"/>
                <c:pt idx="0">
                  <c:v>121735.60550000005</c:v>
                </c:pt>
                <c:pt idx="1">
                  <c:v>89762.447</c:v>
                </c:pt>
                <c:pt idx="2">
                  <c:v>54681.473499999993</c:v>
                </c:pt>
              </c:numCache>
            </c:numRef>
          </c:val>
          <c:extLst>
            <c:ext xmlns:c16="http://schemas.microsoft.com/office/drawing/2014/chart" uri="{C3380CC4-5D6E-409C-BE32-E72D297353CC}">
              <c16:uniqueId val="{00000006-0687-4E02-A55A-F4FE412B46F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504825</xdr:colOff>
      <xdr:row>0</xdr:row>
      <xdr:rowOff>152400</xdr:rowOff>
    </xdr:from>
    <xdr:to>
      <xdr:col>7</xdr:col>
      <xdr:colOff>0</xdr:colOff>
      <xdr:row>13</xdr:row>
      <xdr:rowOff>0</xdr:rowOff>
    </xdr:to>
    <xdr:graphicFrame macro="">
      <xdr:nvGraphicFramePr>
        <xdr:cNvPr id="2" name="Chart 1">
          <a:extLst>
            <a:ext uri="{FF2B5EF4-FFF2-40B4-BE49-F238E27FC236}">
              <a16:creationId xmlns:a16="http://schemas.microsoft.com/office/drawing/2014/main" id="{DA4B1C31-05C6-733C-BD54-24F8BD5309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95249</xdr:colOff>
      <xdr:row>32</xdr:row>
      <xdr:rowOff>161925</xdr:rowOff>
    </xdr:from>
    <xdr:to>
      <xdr:col>14</xdr:col>
      <xdr:colOff>0</xdr:colOff>
      <xdr:row>48</xdr:row>
      <xdr:rowOff>0</xdr:rowOff>
    </xdr:to>
    <xdr:graphicFrame macro="">
      <xdr:nvGraphicFramePr>
        <xdr:cNvPr id="4" name="Chart 3">
          <a:extLst>
            <a:ext uri="{FF2B5EF4-FFF2-40B4-BE49-F238E27FC236}">
              <a16:creationId xmlns:a16="http://schemas.microsoft.com/office/drawing/2014/main" id="{76411A1B-90B0-1E7D-4771-BD13D138E8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95250</xdr:colOff>
      <xdr:row>1</xdr:row>
      <xdr:rowOff>47625</xdr:rowOff>
    </xdr:from>
    <xdr:to>
      <xdr:col>16</xdr:col>
      <xdr:colOff>3175</xdr:colOff>
      <xdr:row>16</xdr:row>
      <xdr:rowOff>73025</xdr:rowOff>
    </xdr:to>
    <xdr:graphicFrame macro="">
      <xdr:nvGraphicFramePr>
        <xdr:cNvPr id="5" name="Chart 4">
          <a:extLst>
            <a:ext uri="{FF2B5EF4-FFF2-40B4-BE49-F238E27FC236}">
              <a16:creationId xmlns:a16="http://schemas.microsoft.com/office/drawing/2014/main" id="{F15AB8C0-8C30-BE5C-ED6F-CCD8D5739C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866775</xdr:colOff>
      <xdr:row>15</xdr:row>
      <xdr:rowOff>0</xdr:rowOff>
    </xdr:from>
    <xdr:to>
      <xdr:col>6</xdr:col>
      <xdr:colOff>0</xdr:colOff>
      <xdr:row>28</xdr:row>
      <xdr:rowOff>0</xdr:rowOff>
    </xdr:to>
    <xdr:graphicFrame macro="">
      <xdr:nvGraphicFramePr>
        <xdr:cNvPr id="6" name="Chart 5">
          <a:extLst>
            <a:ext uri="{FF2B5EF4-FFF2-40B4-BE49-F238E27FC236}">
              <a16:creationId xmlns:a16="http://schemas.microsoft.com/office/drawing/2014/main" id="{E672C601-3F1A-5699-E630-0864BFE199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504825</xdr:colOff>
      <xdr:row>30</xdr:row>
      <xdr:rowOff>0</xdr:rowOff>
    </xdr:from>
    <xdr:to>
      <xdr:col>6</xdr:col>
      <xdr:colOff>771525</xdr:colOff>
      <xdr:row>45</xdr:row>
      <xdr:rowOff>25400</xdr:rowOff>
    </xdr:to>
    <xdr:graphicFrame macro="">
      <xdr:nvGraphicFramePr>
        <xdr:cNvPr id="7" name="Chart 6">
          <a:extLst>
            <a:ext uri="{FF2B5EF4-FFF2-40B4-BE49-F238E27FC236}">
              <a16:creationId xmlns:a16="http://schemas.microsoft.com/office/drawing/2014/main" id="{ABAE2FF3-DFFA-E9CA-0CB3-ACF03834B2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501650</xdr:colOff>
      <xdr:row>47</xdr:row>
      <xdr:rowOff>158750</xdr:rowOff>
    </xdr:from>
    <xdr:to>
      <xdr:col>5</xdr:col>
      <xdr:colOff>711200</xdr:colOff>
      <xdr:row>63</xdr:row>
      <xdr:rowOff>9525</xdr:rowOff>
    </xdr:to>
    <xdr:graphicFrame macro="">
      <xdr:nvGraphicFramePr>
        <xdr:cNvPr id="8" name="Chart 7">
          <a:extLst>
            <a:ext uri="{FF2B5EF4-FFF2-40B4-BE49-F238E27FC236}">
              <a16:creationId xmlns:a16="http://schemas.microsoft.com/office/drawing/2014/main" id="{2FBAD65B-4142-7C1D-33F3-F3CDDF9C6E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415925</xdr:colOff>
      <xdr:row>68</xdr:row>
      <xdr:rowOff>0</xdr:rowOff>
    </xdr:from>
    <xdr:to>
      <xdr:col>6</xdr:col>
      <xdr:colOff>473075</xdr:colOff>
      <xdr:row>71</xdr:row>
      <xdr:rowOff>0</xdr:rowOff>
    </xdr:to>
    <xdr:sp macro="" textlink="$D$70">
      <xdr:nvSpPr>
        <xdr:cNvPr id="9" name="Rectangle: Rounded Corners 8">
          <a:extLst>
            <a:ext uri="{FF2B5EF4-FFF2-40B4-BE49-F238E27FC236}">
              <a16:creationId xmlns:a16="http://schemas.microsoft.com/office/drawing/2014/main" id="{77B3620D-42F0-7808-2A6B-28C590B407E6}"/>
            </a:ext>
          </a:extLst>
        </xdr:cNvPr>
        <xdr:cNvSpPr/>
      </xdr:nvSpPr>
      <xdr:spPr>
        <a:xfrm>
          <a:off x="5702300" y="12306300"/>
          <a:ext cx="1133475" cy="5429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E438C20-A5AD-4B36-B457-0BFB1738BA3F}" type="TxLink">
            <a:rPr lang="en-US" sz="1100" b="1" i="0" u="none" strike="noStrike">
              <a:solidFill>
                <a:srgbClr val="000000"/>
              </a:solidFill>
              <a:latin typeface="Calibri"/>
              <a:ea typeface="Calibri"/>
              <a:cs typeface="Calibri"/>
            </a:rPr>
            <a:pPr algn="l"/>
            <a:t>Total Revenue: 
£ 996,822.45</a:t>
          </a:fld>
          <a:endParaRPr lang="en-GB" sz="1100" b="1"/>
        </a:p>
      </xdr:txBody>
    </xdr:sp>
    <xdr:clientData/>
  </xdr:twoCellAnchor>
  <xdr:twoCellAnchor>
    <xdr:from>
      <xdr:col>5</xdr:col>
      <xdr:colOff>558801</xdr:colOff>
      <xdr:row>75</xdr:row>
      <xdr:rowOff>114301</xdr:rowOff>
    </xdr:from>
    <xdr:to>
      <xdr:col>6</xdr:col>
      <xdr:colOff>625475</xdr:colOff>
      <xdr:row>77</xdr:row>
      <xdr:rowOff>285751</xdr:rowOff>
    </xdr:to>
    <xdr:sp macro="" textlink="$D$78">
      <xdr:nvSpPr>
        <xdr:cNvPr id="10" name="Rectangle: Rounded Corners 9">
          <a:extLst>
            <a:ext uri="{FF2B5EF4-FFF2-40B4-BE49-F238E27FC236}">
              <a16:creationId xmlns:a16="http://schemas.microsoft.com/office/drawing/2014/main" id="{15754D71-9FE7-C184-9BF3-17EE1130A863}"/>
            </a:ext>
          </a:extLst>
        </xdr:cNvPr>
        <xdr:cNvSpPr/>
      </xdr:nvSpPr>
      <xdr:spPr>
        <a:xfrm>
          <a:off x="7092951" y="13687426"/>
          <a:ext cx="1142999" cy="533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BEE5595-D1FA-4FC8-B5E6-FB1BF2A67FB7}" type="TxLink">
            <a:rPr lang="en-US" sz="1100" b="1" i="0" u="none" strike="noStrike">
              <a:solidFill>
                <a:srgbClr val="000000"/>
              </a:solidFill>
              <a:latin typeface="Calibri"/>
              <a:ea typeface="Calibri"/>
              <a:cs typeface="Calibri"/>
            </a:rPr>
            <a:pPr algn="ctr"/>
            <a:t>Total Profit: 
£ 266,179.53</a:t>
          </a:fld>
          <a:endParaRPr lang="en-GB" sz="1100" b="1"/>
        </a:p>
      </xdr:txBody>
    </xdr:sp>
    <xdr:clientData/>
  </xdr:twoCellAnchor>
  <xdr:twoCellAnchor>
    <xdr:from>
      <xdr:col>6</xdr:col>
      <xdr:colOff>1019176</xdr:colOff>
      <xdr:row>83</xdr:row>
      <xdr:rowOff>0</xdr:rowOff>
    </xdr:from>
    <xdr:to>
      <xdr:col>8</xdr:col>
      <xdr:colOff>0</xdr:colOff>
      <xdr:row>85</xdr:row>
      <xdr:rowOff>177801</xdr:rowOff>
    </xdr:to>
    <xdr:sp macro="" textlink="$F$84">
      <xdr:nvSpPr>
        <xdr:cNvPr id="11" name="Rectangle: Rounded Corners 10">
          <a:extLst>
            <a:ext uri="{FF2B5EF4-FFF2-40B4-BE49-F238E27FC236}">
              <a16:creationId xmlns:a16="http://schemas.microsoft.com/office/drawing/2014/main" id="{7ABEAACC-B40A-3A4C-292D-5D288C8CA229}"/>
            </a:ext>
          </a:extLst>
        </xdr:cNvPr>
        <xdr:cNvSpPr/>
      </xdr:nvSpPr>
      <xdr:spPr>
        <a:xfrm>
          <a:off x="7381876" y="15020925"/>
          <a:ext cx="1133474" cy="53975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49E3B30-224A-4917-A30A-47E1526D6165}" type="TxLink">
            <a:rPr lang="en-US" sz="1100" b="1" i="0" u="none" strike="noStrike">
              <a:solidFill>
                <a:srgbClr val="000000"/>
              </a:solidFill>
              <a:latin typeface="Calibri"/>
              <a:ea typeface="Calibri"/>
              <a:cs typeface="Calibri"/>
            </a:rPr>
            <a:pPr algn="ctr"/>
            <a:t>Profit Margin: 
26.70 %</a:t>
          </a:fld>
          <a:endParaRPr lang="en-GB" sz="1100" b="1"/>
        </a:p>
      </xdr:txBody>
    </xdr:sp>
    <xdr:clientData/>
  </xdr:twoCellAnchor>
  <xdr:twoCellAnchor>
    <xdr:from>
      <xdr:col>5</xdr:col>
      <xdr:colOff>507998</xdr:colOff>
      <xdr:row>89</xdr:row>
      <xdr:rowOff>85726</xdr:rowOff>
    </xdr:from>
    <xdr:to>
      <xdr:col>6</xdr:col>
      <xdr:colOff>457200</xdr:colOff>
      <xdr:row>92</xdr:row>
      <xdr:rowOff>25400</xdr:rowOff>
    </xdr:to>
    <xdr:sp macro="" textlink="$D$91">
      <xdr:nvSpPr>
        <xdr:cNvPr id="3" name="Rectangle: Rounded Corners 2">
          <a:extLst>
            <a:ext uri="{FF2B5EF4-FFF2-40B4-BE49-F238E27FC236}">
              <a16:creationId xmlns:a16="http://schemas.microsoft.com/office/drawing/2014/main" id="{5CC31841-C6B4-ABD7-628E-0265C207E739}"/>
            </a:ext>
          </a:extLst>
        </xdr:cNvPr>
        <xdr:cNvSpPr/>
      </xdr:nvSpPr>
      <xdr:spPr>
        <a:xfrm>
          <a:off x="6099173" y="16192501"/>
          <a:ext cx="1025527" cy="4825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6926362-0A82-494A-869D-CC4107283AF6}" type="TxLink">
            <a:rPr lang="en-US" sz="1100" b="1" i="0" u="none" strike="noStrike">
              <a:solidFill>
                <a:srgbClr val="000000"/>
              </a:solidFill>
              <a:latin typeface="Calibri"/>
              <a:ea typeface="Calibri"/>
              <a:cs typeface="Calibri"/>
            </a:rPr>
            <a:pPr algn="ctr"/>
            <a:t>Total Orders: 
200</a:t>
          </a:fld>
          <a:endParaRPr lang="en-GB" sz="1100" b="1"/>
        </a:p>
      </xdr:txBody>
    </xdr:sp>
    <xdr:clientData/>
  </xdr:twoCellAnchor>
  <xdr:twoCellAnchor>
    <xdr:from>
      <xdr:col>5</xdr:col>
      <xdr:colOff>476250</xdr:colOff>
      <xdr:row>99</xdr:row>
      <xdr:rowOff>0</xdr:rowOff>
    </xdr:from>
    <xdr:to>
      <xdr:col>6</xdr:col>
      <xdr:colOff>628650</xdr:colOff>
      <xdr:row>100</xdr:row>
      <xdr:rowOff>352424</xdr:rowOff>
    </xdr:to>
    <xdr:sp macro="" textlink="$D$101">
      <xdr:nvSpPr>
        <xdr:cNvPr id="12" name="Rectangle: Rounded Corners 11">
          <a:extLst>
            <a:ext uri="{FF2B5EF4-FFF2-40B4-BE49-F238E27FC236}">
              <a16:creationId xmlns:a16="http://schemas.microsoft.com/office/drawing/2014/main" id="{A1866D21-3567-8B79-9502-4A3878E022B5}"/>
            </a:ext>
          </a:extLst>
        </xdr:cNvPr>
        <xdr:cNvSpPr/>
      </xdr:nvSpPr>
      <xdr:spPr>
        <a:xfrm>
          <a:off x="7010400" y="17383125"/>
          <a:ext cx="1228725" cy="5333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FDB37BA-834D-47A5-B859-CACDCF6E4CD8}" type="TxLink">
            <a:rPr lang="en-US" sz="1100" b="1" i="0" u="none" strike="noStrike">
              <a:solidFill>
                <a:srgbClr val="000000"/>
              </a:solidFill>
              <a:latin typeface="Calibri"/>
              <a:ea typeface="Calibri"/>
              <a:cs typeface="Calibri"/>
            </a:rPr>
            <a:pPr algn="ctr"/>
            <a:t>Total Customers: 
87</a:t>
          </a:fld>
          <a:endParaRPr lang="en-GB" sz="1100" b="1"/>
        </a:p>
      </xdr:txBody>
    </xdr:sp>
    <xdr:clientData/>
  </xdr:twoCellAnchor>
  <xdr:twoCellAnchor>
    <xdr:from>
      <xdr:col>5</xdr:col>
      <xdr:colOff>85724</xdr:colOff>
      <xdr:row>107</xdr:row>
      <xdr:rowOff>66676</xdr:rowOff>
    </xdr:from>
    <xdr:to>
      <xdr:col>6</xdr:col>
      <xdr:colOff>380999</xdr:colOff>
      <xdr:row>109</xdr:row>
      <xdr:rowOff>47626</xdr:rowOff>
    </xdr:to>
    <xdr:sp macro="" textlink="$D$109">
      <xdr:nvSpPr>
        <xdr:cNvPr id="13" name="Rectangle: Rounded Corners 12">
          <a:extLst>
            <a:ext uri="{FF2B5EF4-FFF2-40B4-BE49-F238E27FC236}">
              <a16:creationId xmlns:a16="http://schemas.microsoft.com/office/drawing/2014/main" id="{2426F337-ABCC-183A-AF72-A68714758340}"/>
            </a:ext>
          </a:extLst>
        </xdr:cNvPr>
        <xdr:cNvSpPr/>
      </xdr:nvSpPr>
      <xdr:spPr>
        <a:xfrm>
          <a:off x="5553074" y="19812001"/>
          <a:ext cx="1371600" cy="533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04C56FF-041A-4B52-A93E-9F0B7B519758}" type="TxLink">
            <a:rPr lang="en-US" sz="1100" b="1" i="0" u="none" strike="noStrike">
              <a:solidFill>
                <a:srgbClr val="000000"/>
              </a:solidFill>
              <a:latin typeface="Calibri"/>
              <a:ea typeface="Calibri"/>
              <a:cs typeface="Calibri"/>
            </a:rPr>
            <a:pPr algn="ctr"/>
            <a:t>Total Quantity: 
1448</a:t>
          </a:fld>
          <a:endParaRPr lang="en-GB" sz="11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9526</xdr:rowOff>
    </xdr:from>
    <xdr:to>
      <xdr:col>20</xdr:col>
      <xdr:colOff>9524</xdr:colOff>
      <xdr:row>3</xdr:row>
      <xdr:rowOff>158751</xdr:rowOff>
    </xdr:to>
    <xdr:sp macro="" textlink="">
      <xdr:nvSpPr>
        <xdr:cNvPr id="2" name="Rectangle 1">
          <a:extLst>
            <a:ext uri="{FF2B5EF4-FFF2-40B4-BE49-F238E27FC236}">
              <a16:creationId xmlns:a16="http://schemas.microsoft.com/office/drawing/2014/main" id="{81A84F4F-D604-5A2F-DF20-22BE2B2B9D7C}"/>
            </a:ext>
          </a:extLst>
        </xdr:cNvPr>
        <xdr:cNvSpPr/>
      </xdr:nvSpPr>
      <xdr:spPr>
        <a:xfrm>
          <a:off x="0" y="9526"/>
          <a:ext cx="12201524" cy="692150"/>
        </a:xfrm>
        <a:prstGeom prst="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000">
              <a:latin typeface="Arial Black" panose="020B0A04020102020204" pitchFamily="34" charset="0"/>
            </a:rPr>
            <a:t>Amazon Sales Dashboard</a:t>
          </a:r>
        </a:p>
      </xdr:txBody>
    </xdr:sp>
    <xdr:clientData/>
  </xdr:twoCellAnchor>
  <xdr:twoCellAnchor>
    <xdr:from>
      <xdr:col>13</xdr:col>
      <xdr:colOff>0</xdr:colOff>
      <xdr:row>7</xdr:row>
      <xdr:rowOff>44450</xdr:rowOff>
    </xdr:from>
    <xdr:to>
      <xdr:col>20</xdr:col>
      <xdr:colOff>19050</xdr:colOff>
      <xdr:row>22</xdr:row>
      <xdr:rowOff>9525</xdr:rowOff>
    </xdr:to>
    <xdr:graphicFrame macro="">
      <xdr:nvGraphicFramePr>
        <xdr:cNvPr id="28" name="Chart 27">
          <a:extLst>
            <a:ext uri="{FF2B5EF4-FFF2-40B4-BE49-F238E27FC236}">
              <a16:creationId xmlns:a16="http://schemas.microsoft.com/office/drawing/2014/main" id="{55391DAC-9E98-4287-B680-CFEBCF148C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285750</xdr:colOff>
      <xdr:row>7</xdr:row>
      <xdr:rowOff>45333</xdr:rowOff>
    </xdr:from>
    <xdr:to>
      <xdr:col>12</xdr:col>
      <xdr:colOff>561975</xdr:colOff>
      <xdr:row>22</xdr:row>
      <xdr:rowOff>2514</xdr:rowOff>
    </xdr:to>
    <xdr:graphicFrame macro="">
      <xdr:nvGraphicFramePr>
        <xdr:cNvPr id="29" name="Chart 28">
          <a:extLst>
            <a:ext uri="{FF2B5EF4-FFF2-40B4-BE49-F238E27FC236}">
              <a16:creationId xmlns:a16="http://schemas.microsoft.com/office/drawing/2014/main" id="{0FD1DAFF-6297-4682-B454-35B073A66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276225</xdr:colOff>
      <xdr:row>22</xdr:row>
      <xdr:rowOff>38100</xdr:rowOff>
    </xdr:from>
    <xdr:to>
      <xdr:col>12</xdr:col>
      <xdr:colOff>561975</xdr:colOff>
      <xdr:row>34</xdr:row>
      <xdr:rowOff>85725</xdr:rowOff>
    </xdr:to>
    <xdr:graphicFrame macro="">
      <xdr:nvGraphicFramePr>
        <xdr:cNvPr id="30" name="Chart 29">
          <a:extLst>
            <a:ext uri="{FF2B5EF4-FFF2-40B4-BE49-F238E27FC236}">
              <a16:creationId xmlns:a16="http://schemas.microsoft.com/office/drawing/2014/main" id="{F3545DCD-1A91-40E0-86AB-CD6AA086D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1269</xdr:colOff>
      <xdr:row>22</xdr:row>
      <xdr:rowOff>45972</xdr:rowOff>
    </xdr:from>
    <xdr:to>
      <xdr:col>20</xdr:col>
      <xdr:colOff>15875</xdr:colOff>
      <xdr:row>34</xdr:row>
      <xdr:rowOff>83104</xdr:rowOff>
    </xdr:to>
    <xdr:graphicFrame macro="">
      <xdr:nvGraphicFramePr>
        <xdr:cNvPr id="31" name="Chart 30">
          <a:extLst>
            <a:ext uri="{FF2B5EF4-FFF2-40B4-BE49-F238E27FC236}">
              <a16:creationId xmlns:a16="http://schemas.microsoft.com/office/drawing/2014/main" id="{E4AFDD3B-FB99-4402-8E7D-21B710F28B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19050</xdr:colOff>
      <xdr:row>4</xdr:row>
      <xdr:rowOff>95251</xdr:rowOff>
    </xdr:from>
    <xdr:to>
      <xdr:col>2</xdr:col>
      <xdr:colOff>247650</xdr:colOff>
      <xdr:row>15</xdr:row>
      <xdr:rowOff>123825</xdr:rowOff>
    </xdr:to>
    <mc:AlternateContent xmlns:mc="http://schemas.openxmlformats.org/markup-compatibility/2006" xmlns:a14="http://schemas.microsoft.com/office/drawing/2010/main">
      <mc:Choice Requires="a14">
        <xdr:graphicFrame macro="">
          <xdr:nvGraphicFramePr>
            <xdr:cNvPr id="35" name="region_ clean">
              <a:extLst>
                <a:ext uri="{FF2B5EF4-FFF2-40B4-BE49-F238E27FC236}">
                  <a16:creationId xmlns:a16="http://schemas.microsoft.com/office/drawing/2014/main" id="{7E62110F-6955-8753-08E8-2E5E3919DADF}"/>
                </a:ext>
              </a:extLst>
            </xdr:cNvPr>
            <xdr:cNvGraphicFramePr/>
          </xdr:nvGraphicFramePr>
          <xdr:xfrm>
            <a:off x="0" y="0"/>
            <a:ext cx="0" cy="0"/>
          </xdr:xfrm>
          <a:graphic>
            <a:graphicData uri="http://schemas.microsoft.com/office/drawing/2010/slicer">
              <sle:slicer xmlns:sle="http://schemas.microsoft.com/office/drawing/2010/slicer" name="region_ clean"/>
            </a:graphicData>
          </a:graphic>
        </xdr:graphicFrame>
      </mc:Choice>
      <mc:Fallback xmlns="">
        <xdr:sp macro="" textlink="">
          <xdr:nvSpPr>
            <xdr:cNvPr id="0" name=""/>
            <xdr:cNvSpPr>
              <a:spLocks noTextEdit="1"/>
            </xdr:cNvSpPr>
          </xdr:nvSpPr>
          <xdr:spPr>
            <a:xfrm>
              <a:off x="19050" y="819151"/>
              <a:ext cx="1447800" cy="20161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16</xdr:row>
      <xdr:rowOff>63503</xdr:rowOff>
    </xdr:from>
    <xdr:to>
      <xdr:col>2</xdr:col>
      <xdr:colOff>250824</xdr:colOff>
      <xdr:row>22</xdr:row>
      <xdr:rowOff>171450</xdr:rowOff>
    </xdr:to>
    <mc:AlternateContent xmlns:mc="http://schemas.openxmlformats.org/markup-compatibility/2006" xmlns:a14="http://schemas.microsoft.com/office/drawing/2010/main">
      <mc:Choice Requires="a14">
        <xdr:graphicFrame macro="">
          <xdr:nvGraphicFramePr>
            <xdr:cNvPr id="36" name="product_category_clean">
              <a:extLst>
                <a:ext uri="{FF2B5EF4-FFF2-40B4-BE49-F238E27FC236}">
                  <a16:creationId xmlns:a16="http://schemas.microsoft.com/office/drawing/2014/main" id="{DD36BA96-CD98-A434-E457-2EA5A4EA4338}"/>
                </a:ext>
              </a:extLst>
            </xdr:cNvPr>
            <xdr:cNvGraphicFramePr/>
          </xdr:nvGraphicFramePr>
          <xdr:xfrm>
            <a:off x="0" y="0"/>
            <a:ext cx="0" cy="0"/>
          </xdr:xfrm>
          <a:graphic>
            <a:graphicData uri="http://schemas.microsoft.com/office/drawing/2010/slicer">
              <sle:slicer xmlns:sle="http://schemas.microsoft.com/office/drawing/2010/slicer" name="product_category_clean"/>
            </a:graphicData>
          </a:graphic>
        </xdr:graphicFrame>
      </mc:Choice>
      <mc:Fallback xmlns="">
        <xdr:sp macro="" textlink="">
          <xdr:nvSpPr>
            <xdr:cNvPr id="0" name=""/>
            <xdr:cNvSpPr>
              <a:spLocks noTextEdit="1"/>
            </xdr:cNvSpPr>
          </xdr:nvSpPr>
          <xdr:spPr>
            <a:xfrm>
              <a:off x="25400" y="2962278"/>
              <a:ext cx="1444624" cy="11906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29</xdr:row>
      <xdr:rowOff>82550</xdr:rowOff>
    </xdr:from>
    <xdr:to>
      <xdr:col>2</xdr:col>
      <xdr:colOff>247650</xdr:colOff>
      <xdr:row>34</xdr:row>
      <xdr:rowOff>85725</xdr:rowOff>
    </xdr:to>
    <mc:AlternateContent xmlns:mc="http://schemas.openxmlformats.org/markup-compatibility/2006" xmlns:a14="http://schemas.microsoft.com/office/drawing/2010/main">
      <mc:Choice Requires="a14">
        <xdr:graphicFrame macro="">
          <xdr:nvGraphicFramePr>
            <xdr:cNvPr id="38" name="order_status_clean">
              <a:extLst>
                <a:ext uri="{FF2B5EF4-FFF2-40B4-BE49-F238E27FC236}">
                  <a16:creationId xmlns:a16="http://schemas.microsoft.com/office/drawing/2014/main" id="{7DC33D2E-58F7-D400-CA36-4347A1826466}"/>
                </a:ext>
              </a:extLst>
            </xdr:cNvPr>
            <xdr:cNvGraphicFramePr/>
          </xdr:nvGraphicFramePr>
          <xdr:xfrm>
            <a:off x="0" y="0"/>
            <a:ext cx="0" cy="0"/>
          </xdr:xfrm>
          <a:graphic>
            <a:graphicData uri="http://schemas.microsoft.com/office/drawing/2010/slicer">
              <sle:slicer xmlns:sle="http://schemas.microsoft.com/office/drawing/2010/slicer" name="order_status_clean"/>
            </a:graphicData>
          </a:graphic>
        </xdr:graphicFrame>
      </mc:Choice>
      <mc:Fallback xmlns="">
        <xdr:sp macro="" textlink="">
          <xdr:nvSpPr>
            <xdr:cNvPr id="0" name=""/>
            <xdr:cNvSpPr>
              <a:spLocks noTextEdit="1"/>
            </xdr:cNvSpPr>
          </xdr:nvSpPr>
          <xdr:spPr>
            <a:xfrm>
              <a:off x="38100" y="5334000"/>
              <a:ext cx="1428750" cy="901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23</xdr:row>
      <xdr:rowOff>123825</xdr:rowOff>
    </xdr:from>
    <xdr:to>
      <xdr:col>2</xdr:col>
      <xdr:colOff>247650</xdr:colOff>
      <xdr:row>28</xdr:row>
      <xdr:rowOff>123825</xdr:rowOff>
    </xdr:to>
    <mc:AlternateContent xmlns:mc="http://schemas.openxmlformats.org/markup-compatibility/2006" xmlns:a14="http://schemas.microsoft.com/office/drawing/2010/main">
      <mc:Choice Requires="a14">
        <xdr:graphicFrame macro="">
          <xdr:nvGraphicFramePr>
            <xdr:cNvPr id="39" name="year">
              <a:extLst>
                <a:ext uri="{FF2B5EF4-FFF2-40B4-BE49-F238E27FC236}">
                  <a16:creationId xmlns:a16="http://schemas.microsoft.com/office/drawing/2014/main" id="{1CFC5A2A-1FFA-2FC2-F8AC-FE0C8661D9A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8575" y="4283075"/>
              <a:ext cx="1438275" cy="9048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504825</xdr:colOff>
      <xdr:row>4</xdr:row>
      <xdr:rowOff>28574</xdr:rowOff>
    </xdr:from>
    <xdr:to>
      <xdr:col>19</xdr:col>
      <xdr:colOff>473075</xdr:colOff>
      <xdr:row>7</xdr:row>
      <xdr:rowOff>1</xdr:rowOff>
    </xdr:to>
    <xdr:grpSp>
      <xdr:nvGrpSpPr>
        <xdr:cNvPr id="44" name="Group 43">
          <a:extLst>
            <a:ext uri="{FF2B5EF4-FFF2-40B4-BE49-F238E27FC236}">
              <a16:creationId xmlns:a16="http://schemas.microsoft.com/office/drawing/2014/main" id="{AA74C80A-7664-F386-2645-FD0AA4A21C7E}"/>
            </a:ext>
          </a:extLst>
        </xdr:cNvPr>
        <xdr:cNvGrpSpPr/>
      </xdr:nvGrpSpPr>
      <xdr:grpSpPr>
        <a:xfrm>
          <a:off x="1720850" y="755649"/>
          <a:ext cx="10334625" cy="511177"/>
          <a:chOff x="1724025" y="752474"/>
          <a:chExt cx="10331450" cy="514352"/>
        </a:xfrm>
      </xdr:grpSpPr>
      <xdr:sp macro="" textlink="'Pivot(s)'!$D$70">
        <xdr:nvSpPr>
          <xdr:cNvPr id="19" name="Rectangle: Rounded Corners 18">
            <a:extLst>
              <a:ext uri="{FF2B5EF4-FFF2-40B4-BE49-F238E27FC236}">
                <a16:creationId xmlns:a16="http://schemas.microsoft.com/office/drawing/2014/main" id="{55CF9A2C-EDB0-4B99-A63E-7E5E311257DA}"/>
              </a:ext>
            </a:extLst>
          </xdr:cNvPr>
          <xdr:cNvSpPr/>
        </xdr:nvSpPr>
        <xdr:spPr>
          <a:xfrm>
            <a:off x="1724025" y="762001"/>
            <a:ext cx="2095499" cy="5048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50E2B38-9FBC-462C-9BE1-D9C75BE97E76}" type="TxLink">
              <a:rPr lang="en-US" sz="1100" b="1" i="0" u="none" strike="noStrike">
                <a:solidFill>
                  <a:srgbClr val="000000"/>
                </a:solidFill>
                <a:latin typeface="Calibri"/>
                <a:ea typeface="Calibri"/>
                <a:cs typeface="Calibri"/>
              </a:rPr>
              <a:pPr algn="ctr"/>
              <a:t>Total Revenue: 
£ 996,822.45</a:t>
            </a:fld>
            <a:endParaRPr lang="en-GB" sz="1100" b="1"/>
          </a:p>
        </xdr:txBody>
      </xdr:sp>
      <xdr:sp macro="" textlink="'Pivot(s)'!$D$78">
        <xdr:nvSpPr>
          <xdr:cNvPr id="20" name="Rectangle: Rounded Corners 19">
            <a:extLst>
              <a:ext uri="{FF2B5EF4-FFF2-40B4-BE49-F238E27FC236}">
                <a16:creationId xmlns:a16="http://schemas.microsoft.com/office/drawing/2014/main" id="{83C60197-E29F-4137-8935-A835E093836E}"/>
              </a:ext>
            </a:extLst>
          </xdr:cNvPr>
          <xdr:cNvSpPr/>
        </xdr:nvSpPr>
        <xdr:spPr>
          <a:xfrm>
            <a:off x="3896319" y="762001"/>
            <a:ext cx="2063750" cy="5048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1C83EBE-AD44-4A26-B8D8-84254ED535E2}" type="TxLink">
              <a:rPr lang="en-US" sz="1100" b="1" i="0" u="none" strike="noStrike">
                <a:solidFill>
                  <a:srgbClr val="000000"/>
                </a:solidFill>
                <a:latin typeface="Calibri"/>
                <a:ea typeface="Calibri"/>
                <a:cs typeface="Calibri"/>
              </a:rPr>
              <a:pPr algn="ctr"/>
              <a:t>Total Profit: 
£ 266,179.53</a:t>
            </a:fld>
            <a:endParaRPr lang="en-GB" sz="1100" b="1"/>
          </a:p>
        </xdr:txBody>
      </xdr:sp>
      <xdr:sp macro="" textlink="'Pivot(s)'!$F$84">
        <xdr:nvSpPr>
          <xdr:cNvPr id="22" name="Rectangle: Rounded Corners 21">
            <a:extLst>
              <a:ext uri="{FF2B5EF4-FFF2-40B4-BE49-F238E27FC236}">
                <a16:creationId xmlns:a16="http://schemas.microsoft.com/office/drawing/2014/main" id="{B7F3DAE9-4F47-479A-8780-0E0A3B374136}"/>
              </a:ext>
            </a:extLst>
          </xdr:cNvPr>
          <xdr:cNvSpPr/>
        </xdr:nvSpPr>
        <xdr:spPr>
          <a:xfrm>
            <a:off x="6030515" y="762001"/>
            <a:ext cx="1920874" cy="5048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E629C95-B5BA-4FBC-BE79-92D6F306CCA0}" type="TxLink">
              <a:rPr lang="en-US" sz="1100" b="1" i="0" u="none" strike="noStrike">
                <a:solidFill>
                  <a:srgbClr val="000000"/>
                </a:solidFill>
                <a:latin typeface="Calibri"/>
                <a:ea typeface="Calibri"/>
                <a:cs typeface="Calibri"/>
              </a:rPr>
              <a:pPr algn="ctr"/>
              <a:t>Profit Margin: 
26.70 %</a:t>
            </a:fld>
            <a:endParaRPr lang="en-GB" sz="1100" b="1"/>
          </a:p>
        </xdr:txBody>
      </xdr:sp>
      <xdr:sp macro="" textlink="'Pivot(s)'!$D$91">
        <xdr:nvSpPr>
          <xdr:cNvPr id="24" name="Rectangle: Rounded Corners 23">
            <a:extLst>
              <a:ext uri="{FF2B5EF4-FFF2-40B4-BE49-F238E27FC236}">
                <a16:creationId xmlns:a16="http://schemas.microsoft.com/office/drawing/2014/main" id="{95EC3D94-4354-4304-88F7-835182FF75F9}"/>
              </a:ext>
            </a:extLst>
          </xdr:cNvPr>
          <xdr:cNvSpPr/>
        </xdr:nvSpPr>
        <xdr:spPr>
          <a:xfrm>
            <a:off x="8021835" y="762001"/>
            <a:ext cx="1915320" cy="4921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3984A02-4BDD-48B8-BDAB-C32AA21B2AB3}" type="TxLink">
              <a:rPr lang="en-US" sz="1100" b="1" i="0" u="none" strike="noStrike">
                <a:solidFill>
                  <a:srgbClr val="000000"/>
                </a:solidFill>
                <a:latin typeface="Calibri"/>
                <a:ea typeface="Calibri"/>
                <a:cs typeface="Calibri"/>
              </a:rPr>
              <a:pPr algn="ctr"/>
              <a:t>Total Orders: 
200</a:t>
            </a:fld>
            <a:endParaRPr lang="en-GB" sz="1100" b="1"/>
          </a:p>
        </xdr:txBody>
      </xdr:sp>
      <xdr:sp macro="" textlink="'Pivot(s)'!$D$109">
        <xdr:nvSpPr>
          <xdr:cNvPr id="40" name="Rectangle: Rounded Corners 39">
            <a:extLst>
              <a:ext uri="{FF2B5EF4-FFF2-40B4-BE49-F238E27FC236}">
                <a16:creationId xmlns:a16="http://schemas.microsoft.com/office/drawing/2014/main" id="{C2C66C57-D5ED-4D91-A4E5-B3AE7DDB0ADC}"/>
              </a:ext>
            </a:extLst>
          </xdr:cNvPr>
          <xdr:cNvSpPr/>
        </xdr:nvSpPr>
        <xdr:spPr>
          <a:xfrm>
            <a:off x="10007600" y="752474"/>
            <a:ext cx="2047875" cy="4953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742B086-46FC-4727-8DAB-9407FEBA8EB8}" type="TxLink">
              <a:rPr lang="en-US" sz="1100" b="1" i="0" u="none" strike="noStrike">
                <a:solidFill>
                  <a:srgbClr val="000000"/>
                </a:solidFill>
                <a:latin typeface="Calibri"/>
                <a:ea typeface="Calibri"/>
                <a:cs typeface="Calibri"/>
              </a:rPr>
              <a:pPr algn="ctr"/>
              <a:t>Total Quantity: 
1448</a:t>
            </a:fld>
            <a:endParaRPr lang="en-GB" sz="1100" b="1"/>
          </a:p>
        </xdr:txBody>
      </xdr:sp>
    </xdr:grpSp>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nrewaju Oyenekan" refreshedDate="46173.893344097225" backgroundQuery="1" createdVersion="8" refreshedVersion="8" minRefreshableVersion="3" recordCount="0" supportSubquery="1" supportAdvancedDrill="1" xr:uid="{5CD7C190-CE48-426B-9E1F-8A2B34D8CE15}">
  <cacheSource type="external" connectionId="1"/>
  <cacheFields count="2">
    <cacheField name="[Range].[Customer_ID].[Customer_ID]" caption="Customer_ID" numFmtId="0" hierarchy="6" level="1">
      <sharedItems containsSemiMixedTypes="0" containsNonDate="0" containsString="0"/>
    </cacheField>
    <cacheField name="[Measures].[Distinct Count of Customer_ID]" caption="Distinct Count of Customer_ID" numFmtId="0" hierarchy="29" level="32767"/>
  </cacheFields>
  <cacheHierarchies count="30">
    <cacheHierarchy uniqueName="[Range].[Order_ID]" caption="Order_ID" attribute="1" defaultMemberUniqueName="[Range].[Order_ID].[All]" allUniqueName="[Range].[Order_ID].[All]" dimensionUniqueName="[Range]" displayFolder="" count="0" memberValueDatatype="130" unbalanced="0"/>
    <cacheHierarchy uniqueName="[Range].[order_date_ clean]" caption="order_date_ clean" attribute="1" time="1" defaultMemberUniqueName="[Range].[order_date_ clean].[All]" allUniqueName="[Range].[order_date_ clean].[All]" dimensionUniqueName="[Range]" displayFolder="" count="0" memberValueDatatype="7" unbalanced="0"/>
    <cacheHierarchy uniqueName="[Range].[month_num]" caption="month_num" attribute="1" defaultMemberUniqueName="[Range].[month_num].[All]" allUniqueName="[Range].[month_num].[All]" dimensionUniqueName="[Range]" displayFolder="" count="0" memberValueDatatype="20" unbalanced="0"/>
    <cacheHierarchy uniqueName="[Range].[month_name]" caption="month_name" attribute="1" time="1" defaultMemberUniqueName="[Range].[month_name].[All]" allUniqueName="[Range].[month_nam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month_year]" caption="month_year" attribute="1" time="1" defaultMemberUniqueName="[Range].[month_year].[All]" allUniqueName="[Range].[month_year].[All]" dimensionUniqueName="[Range]" displayFolder="" count="0" memberValueDatatype="7" unbalanced="0"/>
    <cacheHierarchy uniqueName="[Range].[Customer_ID]" caption="Customer_ID" attribute="1" defaultMemberUniqueName="[Range].[Customer_ID].[All]" allUniqueName="[Range].[Customer_ID].[All]" dimensionUniqueName="[Range]" displayFolder="" count="2" memberValueDatatype="130" unbalanced="0">
      <fieldsUsage count="2">
        <fieldUsage x="-1"/>
        <fieldUsage x="0"/>
      </fieldsUsage>
    </cacheHierarchy>
    <cacheHierarchy uniqueName="[Range].[customer_ name_ clean]" caption="customer_ name_ clean" attribute="1" defaultMemberUniqueName="[Range].[customer_ name_ clean].[All]" allUniqueName="[Range].[customer_ name_ clean].[All]" dimensionUniqueName="[Range]" displayFolder="" count="0" memberValueDatatype="130" unbalanced="0"/>
    <cacheHierarchy uniqueName="[Range].[first_name]" caption="first_name" attribute="1" defaultMemberUniqueName="[Range].[first_name].[All]" allUniqueName="[Range].[first_name].[All]" dimensionUniqueName="[Range]" displayFolder="" count="0" memberValueDatatype="130" unbalanced="0"/>
    <cacheHierarchy uniqueName="[Range].[last_name]" caption="last_name" attribute="1" defaultMemberUniqueName="[Range].[last_name].[All]" allUniqueName="[Range].[last_name].[All]" dimensionUniqueName="[Range]" displayFolder="" count="0" memberValueDatatype="130" unbalanced="0"/>
    <cacheHierarchy uniqueName="[Range].[region_ clean]" caption="region_ clean" attribute="1" defaultMemberUniqueName="[Range].[region_ clean].[All]" allUniqueName="[Range].[region_ clean].[All]" dimensionUniqueName="[Range]" displayFolder="" count="0" memberValueDatatype="130" unbalanced="0"/>
    <cacheHierarchy uniqueName="[Range].[city_clean]" caption="city_clean" attribute="1" defaultMemberUniqueName="[Range].[city_clean].[All]" allUniqueName="[Range].[city_clean].[All]" dimensionUniqueName="[Range]" displayFolder="" count="0" memberValueDatatype="130" unbalanced="0"/>
    <cacheHierarchy uniqueName="[Range].[product_category_clean]" caption="product_category_clean" attribute="1" defaultMemberUniqueName="[Range].[product_category_clean].[All]" allUniqueName="[Range].[product_category_clean].[All]" dimensionUniqueName="[Range]" displayFolder="" count="0" memberValueDatatype="130" unbalanced="0"/>
    <cacheHierarchy uniqueName="[Range].[product_name_clean]" caption="product_name_clean" attribute="1" defaultMemberUniqueName="[Range].[product_name_clean].[All]" allUniqueName="[Range].[product_name_clean].[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_clean]" caption="unit_price_clean" attribute="1" defaultMemberUniqueName="[Range].[unit_price_clean].[All]" allUniqueName="[Range].[unit_price_clean].[All]" dimensionUniqueName="[Range]" displayFolder="" count="0" memberValueDatatype="5" unbalanced="0"/>
    <cacheHierarchy uniqueName="[Range].[discount_clean]" caption="discount_clean" attribute="1" defaultMemberUniqueName="[Range].[discount_clean].[All]" allUniqueName="[Range].[discount_clean].[All]" dimensionUniqueName="[Range]" displayFolder="" count="0" memberValueDatatype="5" unbalanced="0"/>
    <cacheHierarchy uniqueName="[Range].[cost_per_unit_clean]" caption="cost_per_unit_clean" attribute="1" defaultMemberUniqueName="[Range].[cost_per_unit_clean].[All]" allUniqueName="[Range].[cost_per_unit_clean].[All]" dimensionUniqueName="[Range]" displayFolder="" count="0" memberValueDatatype="5" unbalanced="0"/>
    <cacheHierarchy uniqueName="[Range].[payment_method_clean]" caption="payment_method_clean" attribute="1" defaultMemberUniqueName="[Range].[payment_method_clean].[All]" allUniqueName="[Range].[payment_method_clean].[All]" dimensionUniqueName="[Range]" displayFolder="" count="0" memberValueDatatype="130" unbalanced="0"/>
    <cacheHierarchy uniqueName="[Range].[order_status_clean]" caption="order_status_clean" attribute="1" defaultMemberUniqueName="[Range].[order_status_clean].[All]" allUniqueName="[Range].[order_status_clean].[All]" dimensionUniqueName="[Range]" displayFolder="" count="0" memberValueDatatype="130" unbalanced="0"/>
    <cacheHierarchy uniqueName="[Range].[transaction_status]" caption="transaction_status" attribute="1" defaultMemberUniqueName="[Range].[transaction_status].[All]" allUniqueName="[Range].[transaction_status].[All]" dimensionUniqueName="[Range]" displayFolder="" count="0" memberValueDatatype="130" unbalanced="0"/>
    <cacheHierarchy uniqueName="[Range].[sale_flag]" caption="sale_flag" attribute="1" defaultMemberUniqueName="[Range].[sale_flag].[All]" allUniqueName="[Range].[sale_flag].[All]" dimensionUniqueName="[Range]" displayFolder="" count="0" memberValueDatatype="130" unbalanced="0"/>
    <cacheHierarchy uniqueName="[Range].[revenue]" caption="revenue" attribute="1" defaultMemberUniqueName="[Range].[revenue].[All]" allUniqueName="[Range].[revenue].[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_margin]" caption="profit_margin" attribute="1" defaultMemberUniqueName="[Range].[profit_margin].[All]" allUniqueName="[Range].[profit_margin].[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6"/>
        </ext>
      </extLst>
    </cacheHierarchy>
    <cacheHierarchy uniqueName="[Measures].[Distinct Count of Customer_ID]" caption="Distinct Count of Customer_ID"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anrewaju Oyenekan" refreshedDate="46173.893345370372" createdVersion="8" refreshedVersion="8" minRefreshableVersion="3" recordCount="200" xr:uid="{B6F4CC31-77D0-4D5D-84E0-79392586663A}">
  <cacheSource type="worksheet">
    <worksheetSource ref="A1:Z201" sheet="clean_sales"/>
  </cacheSource>
  <cacheFields count="33">
    <cacheField name="Order_ID" numFmtId="0">
      <sharedItems/>
    </cacheField>
    <cacheField name="order_date_ clean" numFmtId="14">
      <sharedItems containsSemiMixedTypes="0" containsNonDate="0" containsDate="1" containsString="0" minDate="2024-01-02T00:00:00" maxDate="2025-12-05T00:00:00"/>
    </cacheField>
    <cacheField name="month_num" numFmtId="0">
      <sharedItems containsSemiMixedTypes="0" containsString="0" containsNumber="1" containsInteger="1" minValue="1" maxValue="12"/>
    </cacheField>
    <cacheField name="month_name" numFmtId="167">
      <sharedItems containsSemiMixedTypes="0" containsNonDate="0" containsDate="1" containsString="0" minDate="2024-01-01T00:00:00" maxDate="2025-12-02T00:00:00" count="21">
        <d v="2025-01-01T00:00:00"/>
        <d v="2024-07-01T00:00:00"/>
        <d v="2024-12-01T00:00:00"/>
        <d v="2024-02-01T00:00:00"/>
        <d v="2024-08-01T00:00:00"/>
        <d v="2025-03-01T00:00:00"/>
        <d v="2024-09-01T00:00:00"/>
        <d v="2024-06-01T00:00:00"/>
        <d v="2025-04-01T00:00:00"/>
        <d v="2024-03-01T00:00:00"/>
        <d v="2024-10-01T00:00:00"/>
        <d v="2024-01-01T00:00:00"/>
        <d v="2025-05-01T00:00:00"/>
        <d v="2024-04-01T00:00:00"/>
        <d v="2024-05-01T00:00:00"/>
        <d v="2025-02-01T00:00:00"/>
        <d v="2025-06-01T00:00:00"/>
        <d v="2025-11-01T00:00:00"/>
        <d v="2024-11-01T00:00:00"/>
        <d v="2025-12-01T00:00:00"/>
        <d v="2025-10-01T00:00:00"/>
      </sharedItems>
      <fieldGroup par="31"/>
    </cacheField>
    <cacheField name="year" numFmtId="0">
      <sharedItems containsSemiMixedTypes="0" containsString="0" containsNumber="1" containsInteger="1" minValue="2024" maxValue="2025" count="2">
        <n v="2025"/>
        <n v="2024"/>
      </sharedItems>
    </cacheField>
    <cacheField name="month_year" numFmtId="164">
      <sharedItems containsSemiMixedTypes="0" containsNonDate="0" containsDate="1" containsString="0" minDate="2024-01-01T00:00:00" maxDate="2025-12-02T00:00:00" count="21">
        <d v="2025-01-01T00:00:00"/>
        <d v="2024-07-01T00:00:00"/>
        <d v="2024-12-01T00:00:00"/>
        <d v="2024-02-01T00:00:00"/>
        <d v="2024-08-01T00:00:00"/>
        <d v="2025-03-01T00:00:00"/>
        <d v="2024-09-01T00:00:00"/>
        <d v="2024-06-01T00:00:00"/>
        <d v="2025-04-01T00:00:00"/>
        <d v="2024-03-01T00:00:00"/>
        <d v="2024-10-01T00:00:00"/>
        <d v="2024-01-01T00:00:00"/>
        <d v="2025-05-01T00:00:00"/>
        <d v="2024-04-01T00:00:00"/>
        <d v="2024-05-01T00:00:00"/>
        <d v="2025-02-01T00:00:00"/>
        <d v="2025-06-01T00:00:00"/>
        <d v="2025-11-01T00:00:00"/>
        <d v="2024-11-01T00:00:00"/>
        <d v="2025-12-01T00:00:00"/>
        <d v="2025-10-01T00:00:00"/>
      </sharedItems>
      <fieldGroup par="28"/>
    </cacheField>
    <cacheField name="Customer_ID" numFmtId="0">
      <sharedItems count="88">
        <s v="No Acct"/>
        <s v="CUST1089"/>
        <s v="CUST1048"/>
        <s v="CUST1081"/>
        <s v="CUST1028"/>
        <s v="CUST1058"/>
        <s v="CUST1020"/>
        <s v="CUST1098"/>
        <s v="CUST1064"/>
        <s v="CUST1072"/>
        <s v="CUST1096"/>
        <s v="CUST1009"/>
        <s v="CUST1060"/>
        <s v="CUST1043"/>
        <s v="CUST1006"/>
        <s v="CUST1036"/>
        <s v="CUST1007"/>
        <s v="CUST1040"/>
        <s v="CUST1012"/>
        <s v="CUST1054"/>
        <s v="CUST1026"/>
        <s v="CUST1094"/>
        <s v="CUST1084"/>
        <s v="CUST1004"/>
        <s v="CUST1092"/>
        <s v="CUST1016"/>
        <s v="CUST1056"/>
        <s v="CUST1078"/>
        <s v="CUST1034"/>
        <s v="CUST1062"/>
        <s v="CUST1032"/>
        <s v="CUST1050"/>
        <s v="CUST1053"/>
        <s v="CUST1075"/>
        <s v="CUST1037"/>
        <s v="CUST1024"/>
        <s v="CUST1070"/>
        <s v="CUST1038"/>
        <s v="CUST1052"/>
        <s v="CUST1069"/>
        <s v="CUST1077"/>
        <s v="CUST1063"/>
        <s v="CUST1031"/>
        <s v="CUST1059"/>
        <s v="CUST1099"/>
        <s v="CUST1041"/>
        <s v="CUST1033"/>
        <s v="CUST1005"/>
        <s v="CUST1083"/>
        <s v="CUST1045"/>
        <s v="CUST1097"/>
        <s v="CUST1001"/>
        <s v="CUST1087"/>
        <s v="CUST1047"/>
        <s v="CUST1027"/>
        <s v="CUST1046"/>
        <s v="CUST1049"/>
        <s v="CUST1010"/>
        <s v="CUST1067"/>
        <s v="CUST1015"/>
        <s v="CUST1023"/>
        <s v="CUST1061"/>
        <s v="CUST1088"/>
        <s v="CUST1091"/>
        <s v="CUST1085"/>
        <s v="CUST1057"/>
        <s v="CUST1066"/>
        <s v="CUST1082"/>
        <s v="CUST1074"/>
        <s v="CUST1071"/>
        <s v="CUST1014"/>
        <s v="CUST1035"/>
        <s v="CUST1000"/>
        <s v="CUST1095"/>
        <s v="CUST1011"/>
        <s v="CUST1030"/>
        <s v="CUST1003"/>
        <s v="CUST1076"/>
        <s v="CUST1017"/>
        <s v="CUST1018"/>
        <s v="CUST1090"/>
        <s v="CUST1021"/>
        <s v="CUST1080"/>
        <s v="CUST1086"/>
        <s v="CUST1008"/>
        <s v="CUST1042"/>
        <s v="CUST1073"/>
        <s v="CUST1022"/>
      </sharedItems>
    </cacheField>
    <cacheField name="customer_ name_ clean " numFmtId="0">
      <sharedItems/>
    </cacheField>
    <cacheField name="first_name" numFmtId="0">
      <sharedItems/>
    </cacheField>
    <cacheField name="last_name" numFmtId="0">
      <sharedItems/>
    </cacheField>
    <cacheField name="region_ clean" numFmtId="0">
      <sharedItems count="6">
        <s v="West"/>
        <s v="London"/>
        <s v="North"/>
        <s v="East"/>
        <s v="South"/>
        <s v="Midlands"/>
      </sharedItems>
    </cacheField>
    <cacheField name="city_clean" numFmtId="0">
      <sharedItems/>
    </cacheField>
    <cacheField name="product_category_clean" numFmtId="0">
      <sharedItems count="3">
        <s v="Technology"/>
        <s v="Office Supplies"/>
        <s v="Furniture"/>
      </sharedItems>
    </cacheField>
    <cacheField name="product_name_clean" numFmtId="0">
      <sharedItems/>
    </cacheField>
    <cacheField name="Quantity" numFmtId="165">
      <sharedItems containsSemiMixedTypes="0" containsString="0" containsNumber="1" containsInteger="1" minValue="-8" maxValue="15"/>
    </cacheField>
    <cacheField name="unit_price_clean" numFmtId="166">
      <sharedItems containsSemiMixedTypes="0" containsString="0" containsNumber="1" minValue="0" maxValue="1495.91"/>
    </cacheField>
    <cacheField name="discount_clean" numFmtId="2">
      <sharedItems containsSemiMixedTypes="0" containsString="0" containsNumber="1" minValue="0" maxValue="0.2"/>
    </cacheField>
    <cacheField name="cost_per_unit_clean" numFmtId="166">
      <sharedItems containsSemiMixedTypes="0" containsString="0" containsNumber="1" minValue="4.47" maxValue="999.57"/>
    </cacheField>
    <cacheField name="payment_method_clean" numFmtId="0">
      <sharedItems count="4">
        <s v="Cash"/>
        <s v="Bank Transfer"/>
        <s v="Card"/>
        <s v="Paypal"/>
      </sharedItems>
    </cacheField>
    <cacheField name="order_status_clean" numFmtId="0">
      <sharedItems count="2">
        <s v="Completed"/>
        <s v="Cancelled"/>
      </sharedItems>
    </cacheField>
    <cacheField name="transaction_status" numFmtId="0">
      <sharedItems/>
    </cacheField>
    <cacheField name="sale_flag" numFmtId="0">
      <sharedItems/>
    </cacheField>
    <cacheField name="revenue " numFmtId="166">
      <sharedItems containsSemiMixedTypes="0" containsString="0" containsNumber="1" minValue="-10777.712" maxValue="21062.354999999996"/>
    </cacheField>
    <cacheField name="cost" numFmtId="166">
      <sharedItems containsSemiMixedTypes="0" containsString="0" containsNumber="1" minValue="-7734" maxValue="14767.050000000001"/>
    </cacheField>
    <cacheField name="profit" numFmtId="166">
      <sharedItems containsSemiMixedTypes="0" containsString="0" containsNumber="1" minValue="-9343.6380000000008" maxValue="17447.804999999997"/>
    </cacheField>
    <cacheField name="profit_margin" numFmtId="166">
      <sharedItems containsMixedTypes="1" containsNumber="1" minValue="-15.166255144032919" maxValue="0.99608068012036788"/>
    </cacheField>
    <cacheField name="Months (month_year)" numFmtId="0" databaseField="0">
      <fieldGroup base="5">
        <rangePr groupBy="months" startDate="2024-01-01T00:00:00" endDate="2025-12-02T00:00:00"/>
        <groupItems count="14">
          <s v="&lt;01/01/2024"/>
          <s v="Jan"/>
          <s v="Feb"/>
          <s v="Mar"/>
          <s v="Apr"/>
          <s v="May"/>
          <s v="Jun"/>
          <s v="Jul"/>
          <s v="Aug"/>
          <s v="Sep"/>
          <s v="Oct"/>
          <s v="Nov"/>
          <s v="Dec"/>
          <s v="&gt;02/12/2025"/>
        </groupItems>
      </fieldGroup>
    </cacheField>
    <cacheField name="Quarters (month_year)" numFmtId="0" databaseField="0">
      <fieldGroup base="5">
        <rangePr groupBy="quarters" startDate="2024-01-01T00:00:00" endDate="2025-12-02T00:00:00"/>
        <groupItems count="6">
          <s v="&lt;01/01/2024"/>
          <s v="Qtr1"/>
          <s v="Qtr2"/>
          <s v="Qtr3"/>
          <s v="Qtr4"/>
          <s v="&gt;02/12/2025"/>
        </groupItems>
      </fieldGroup>
    </cacheField>
    <cacheField name="Years (month_year)" numFmtId="0" databaseField="0">
      <fieldGroup base="5">
        <rangePr groupBy="years" startDate="2024-01-01T00:00:00" endDate="2025-12-02T00:00:00"/>
        <groupItems count="4">
          <s v="&lt;01/01/2024"/>
          <s v="2024"/>
          <s v="2025"/>
          <s v="&gt;02/12/2025"/>
        </groupItems>
      </fieldGroup>
    </cacheField>
    <cacheField name="Months (month_name)" numFmtId="0" databaseField="0">
      <fieldGroup base="3">
        <rangePr groupBy="months" startDate="2024-01-01T00:00:00" endDate="2025-12-02T00:00:00"/>
        <groupItems count="14">
          <s v="&lt;01/01/2024"/>
          <s v="Jan"/>
          <s v="Feb"/>
          <s v="Mar"/>
          <s v="Apr"/>
          <s v="May"/>
          <s v="Jun"/>
          <s v="Jul"/>
          <s v="Aug"/>
          <s v="Sep"/>
          <s v="Oct"/>
          <s v="Nov"/>
          <s v="Dec"/>
          <s v="&gt;02/12/2025"/>
        </groupItems>
      </fieldGroup>
    </cacheField>
    <cacheField name="Quarters (month_name)" numFmtId="0" databaseField="0">
      <fieldGroup base="3">
        <rangePr groupBy="quarters" startDate="2024-01-01T00:00:00" endDate="2025-12-02T00:00:00"/>
        <groupItems count="6">
          <s v="&lt;01/01/2024"/>
          <s v="Qtr1"/>
          <s v="Qtr2"/>
          <s v="Qtr3"/>
          <s v="Qtr4"/>
          <s v="&gt;02/12/2025"/>
        </groupItems>
      </fieldGroup>
    </cacheField>
    <cacheField name="Years (month_name)" numFmtId="0" databaseField="0">
      <fieldGroup base="3">
        <rangePr groupBy="years" startDate="2024-01-01T00:00:00" endDate="2025-12-02T00:00:00"/>
        <groupItems count="4">
          <s v="&lt;01/01/2024"/>
          <s v="2024"/>
          <s v="2025"/>
          <s v="&gt;02/12/2025"/>
        </groupItems>
      </fieldGroup>
    </cacheField>
    <cacheField name="Profit Margin" numFmtId="0" formula="profit/'revenue '" databaseField="0"/>
  </cacheFields>
  <extLst>
    <ext xmlns:x14="http://schemas.microsoft.com/office/spreadsheetml/2009/9/main" uri="{725AE2AE-9491-48be-B2B4-4EB974FC3084}">
      <x14:pivotCacheDefinition pivotCacheId="5087963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1001"/>
    <d v="2025-01-14T00:00:00"/>
    <n v="1"/>
    <x v="0"/>
    <x v="0"/>
    <x v="0"/>
    <x v="0"/>
    <s v="Pamela Hanson"/>
    <s v="Pamela"/>
    <s v="Hanson"/>
    <x v="0"/>
    <s v="London"/>
    <x v="0"/>
    <s v="Laptop"/>
    <n v="4"/>
    <n v="158.22999999999999"/>
    <n v="0.05"/>
    <n v="546.28"/>
    <x v="0"/>
    <x v="0"/>
    <s v="Sale"/>
    <s v="OK"/>
    <n v="601.27399999999989"/>
    <n v="2185.12"/>
    <n v="-1583.846"/>
    <n v="-2.6341501545052677"/>
  </r>
  <r>
    <s v="ORD1002"/>
    <d v="2025-01-01T00:00:00"/>
    <n v="1"/>
    <x v="0"/>
    <x v="0"/>
    <x v="0"/>
    <x v="1"/>
    <s v="Jacob Garrett"/>
    <s v="Jacob"/>
    <s v="Garrett"/>
    <x v="1"/>
    <s v="London"/>
    <x v="1"/>
    <s v="Paper"/>
    <n v="4"/>
    <n v="420.9"/>
    <n v="0.05"/>
    <n v="759.29"/>
    <x v="0"/>
    <x v="0"/>
    <s v="Sale"/>
    <s v="OK"/>
    <n v="1599.4199999999998"/>
    <n v="3037.16"/>
    <n v="-1437.74"/>
    <n v="-0.89891335609158329"/>
  </r>
  <r>
    <s v="ORD1003"/>
    <d v="2024-07-13T00:00:00"/>
    <n v="7"/>
    <x v="1"/>
    <x v="1"/>
    <x v="1"/>
    <x v="2"/>
    <s v="Donald Yang"/>
    <s v="Donald"/>
    <s v="Yang"/>
    <x v="1"/>
    <s v="Bristol"/>
    <x v="0"/>
    <s v="Laptop"/>
    <n v="14"/>
    <n v="0"/>
    <n v="0"/>
    <n v="460.51"/>
    <x v="1"/>
    <x v="0"/>
    <s v="Sale"/>
    <s v="OK"/>
    <n v="0"/>
    <n v="6447.1399999999994"/>
    <n v="-6447.1399999999994"/>
    <s v=" "/>
  </r>
  <r>
    <s v="ORD1004"/>
    <d v="2024-12-04T00:00:00"/>
    <n v="12"/>
    <x v="2"/>
    <x v="1"/>
    <x v="2"/>
    <x v="3"/>
    <s v="Sherri Evans"/>
    <s v="Sherri"/>
    <s v="Evans"/>
    <x v="2"/>
    <s v="Manchester"/>
    <x v="0"/>
    <s v="Laptop"/>
    <n v="5"/>
    <n v="1283.7"/>
    <n v="0.1"/>
    <n v="381.37"/>
    <x v="1"/>
    <x v="0"/>
    <s v="Sale"/>
    <s v="OK"/>
    <n v="5776.6500000000005"/>
    <n v="1906.85"/>
    <n v="3869.8000000000006"/>
    <n v="0.66990383699895273"/>
  </r>
  <r>
    <s v="ORD1005"/>
    <d v="2024-07-11T00:00:00"/>
    <n v="7"/>
    <x v="1"/>
    <x v="1"/>
    <x v="1"/>
    <x v="4"/>
    <s v="Sophia Schaefer"/>
    <s v="Sophia"/>
    <s v="Schaefer"/>
    <x v="3"/>
    <s v="London"/>
    <x v="0"/>
    <s v="Laptop"/>
    <n v="4"/>
    <n v="572.29"/>
    <n v="0.05"/>
    <n v="640.72"/>
    <x v="2"/>
    <x v="0"/>
    <s v="Sale"/>
    <s v="OK"/>
    <n v="2174.7019999999998"/>
    <n v="2562.88"/>
    <n v="-388.17800000000034"/>
    <n v="-0.17849709983252895"/>
  </r>
  <r>
    <s v="ORD1006"/>
    <d v="2024-02-03T00:00:00"/>
    <n v="2"/>
    <x v="3"/>
    <x v="1"/>
    <x v="3"/>
    <x v="5"/>
    <s v="Ashley Hicks"/>
    <s v="Ashley"/>
    <s v="Hicks"/>
    <x v="2"/>
    <s v="London"/>
    <x v="2"/>
    <s v="Chair"/>
    <n v="10"/>
    <n v="475.44"/>
    <n v="0.2"/>
    <n v="396.84"/>
    <x v="1"/>
    <x v="1"/>
    <s v="Sale"/>
    <s v="Check"/>
    <n v="3803.52"/>
    <n v="3968.3999999999996"/>
    <n v="-164.87999999999965"/>
    <n v="-4.3349318525996883E-2"/>
  </r>
  <r>
    <s v="ORD1007"/>
    <d v="2024-07-04T00:00:00"/>
    <n v="7"/>
    <x v="1"/>
    <x v="1"/>
    <x v="1"/>
    <x v="6"/>
    <s v="Jennifer Smith"/>
    <s v="Jennifer"/>
    <s v="Smith"/>
    <x v="3"/>
    <s v="Leeds"/>
    <x v="1"/>
    <s v="Pen"/>
    <n v="3"/>
    <n v="0"/>
    <n v="0.2"/>
    <n v="111.43"/>
    <x v="2"/>
    <x v="1"/>
    <s v="Sale"/>
    <s v="Check"/>
    <n v="0"/>
    <n v="334.29"/>
    <n v="-334.29"/>
    <s v=" "/>
  </r>
  <r>
    <s v="ORD1008"/>
    <d v="2024-08-27T00:00:00"/>
    <n v="8"/>
    <x v="4"/>
    <x v="1"/>
    <x v="4"/>
    <x v="7"/>
    <s v="Leah Smith"/>
    <s v="Leah"/>
    <s v="Smith"/>
    <x v="0"/>
    <s v="Manchester"/>
    <x v="2"/>
    <s v="Cabinet"/>
    <n v="14"/>
    <n v="1022.02"/>
    <n v="0.1"/>
    <n v="885.02"/>
    <x v="3"/>
    <x v="0"/>
    <s v="Sale"/>
    <s v="OK"/>
    <n v="12877.451999999999"/>
    <n v="12390.279999999999"/>
    <n v="487.17200000000048"/>
    <n v="3.7831397080726879E-2"/>
  </r>
  <r>
    <s v="ORD1009"/>
    <d v="2025-03-05T00:00:00"/>
    <n v="3"/>
    <x v="5"/>
    <x v="0"/>
    <x v="5"/>
    <x v="8"/>
    <s v="Candice Huang"/>
    <s v="Candice"/>
    <s v="Huang"/>
    <x v="2"/>
    <s v="Manchester"/>
    <x v="2"/>
    <s v="Desk"/>
    <n v="9"/>
    <n v="763.98"/>
    <n v="0.2"/>
    <n v="626.04999999999995"/>
    <x v="0"/>
    <x v="0"/>
    <s v="Sale"/>
    <s v="OK"/>
    <n v="5500.6559999999999"/>
    <n v="5634.45"/>
    <n v="-133.79399999999987"/>
    <n v="-2.4323280714154797E-2"/>
  </r>
  <r>
    <s v="ORD1010"/>
    <d v="2024-09-07T00:00:00"/>
    <n v="9"/>
    <x v="6"/>
    <x v="1"/>
    <x v="6"/>
    <x v="9"/>
    <s v="Mary Rhodes"/>
    <s v="Mary"/>
    <s v="Rhodes"/>
    <x v="0"/>
    <s v="Bristol"/>
    <x v="1"/>
    <s v="Pen"/>
    <n v="15"/>
    <n v="1478.06"/>
    <n v="0.05"/>
    <n v="240.97"/>
    <x v="3"/>
    <x v="0"/>
    <s v="Sale"/>
    <s v="OK"/>
    <n v="21062.354999999996"/>
    <n v="3614.55"/>
    <n v="17447.804999999997"/>
    <n v="0.82838813608449768"/>
  </r>
  <r>
    <s v="ORD1011"/>
    <d v="2024-06-03T00:00:00"/>
    <n v="6"/>
    <x v="7"/>
    <x v="1"/>
    <x v="7"/>
    <x v="10"/>
    <s v="Anthony Miller"/>
    <s v="Anthony"/>
    <s v="Miller"/>
    <x v="4"/>
    <s v="Bristol"/>
    <x v="1"/>
    <s v="Paper"/>
    <n v="3"/>
    <n v="1309.29"/>
    <n v="0.05"/>
    <n v="213.37"/>
    <x v="1"/>
    <x v="1"/>
    <s v="Sale"/>
    <s v="Check"/>
    <n v="3731.4764999999998"/>
    <n v="640.11"/>
    <n v="3091.3664999999996"/>
    <n v="0.82845664444088007"/>
  </r>
  <r>
    <s v="ORD1012"/>
    <d v="2025-04-05T00:00:00"/>
    <n v="4"/>
    <x v="8"/>
    <x v="0"/>
    <x v="8"/>
    <x v="11"/>
    <s v="Matthew Harris"/>
    <s v="Matthew"/>
    <s v="Harris"/>
    <x v="3"/>
    <s v="London"/>
    <x v="0"/>
    <s v="Mouse"/>
    <n v="4"/>
    <n v="36.450000000000003"/>
    <n v="0"/>
    <n v="589.26"/>
    <x v="2"/>
    <x v="0"/>
    <s v="Sale"/>
    <s v="OK"/>
    <n v="145.80000000000001"/>
    <n v="2357.04"/>
    <n v="-2211.2399999999998"/>
    <n v="-15.166255144032919"/>
  </r>
  <r>
    <s v="ORD1013"/>
    <d v="2024-09-20T00:00:00"/>
    <n v="9"/>
    <x v="6"/>
    <x v="1"/>
    <x v="6"/>
    <x v="12"/>
    <s v="Claire Rodriguez"/>
    <s v="Claire"/>
    <s v="Rodriguez"/>
    <x v="2"/>
    <s v="Birmingham"/>
    <x v="0"/>
    <s v="Laptop"/>
    <n v="11"/>
    <n v="811.15"/>
    <n v="0.05"/>
    <n v="882.62"/>
    <x v="0"/>
    <x v="0"/>
    <s v="Sale"/>
    <s v="OK"/>
    <n v="8476.5174999999999"/>
    <n v="9708.82"/>
    <n v="-1232.3024999999998"/>
    <n v="-0.14537839389820167"/>
  </r>
  <r>
    <s v="ORD1014"/>
    <d v="2024-06-30T00:00:00"/>
    <n v="6"/>
    <x v="7"/>
    <x v="1"/>
    <x v="7"/>
    <x v="13"/>
    <s v="Aaron Smith"/>
    <s v="Aaron"/>
    <s v="Smith"/>
    <x v="0"/>
    <s v="London"/>
    <x v="0"/>
    <s v="Mouse"/>
    <n v="12"/>
    <n v="981.92"/>
    <n v="0.2"/>
    <n v="62.49"/>
    <x v="0"/>
    <x v="0"/>
    <s v="Sale"/>
    <s v="OK"/>
    <n v="9426.4319999999989"/>
    <n v="749.88"/>
    <n v="8676.5519999999997"/>
    <n v="0.92044922193254042"/>
  </r>
  <r>
    <s v="ORD1015"/>
    <d v="2024-03-12T00:00:00"/>
    <n v="3"/>
    <x v="9"/>
    <x v="1"/>
    <x v="9"/>
    <x v="14"/>
    <s v="Kathy Smith"/>
    <s v="Kathy"/>
    <s v="Smith"/>
    <x v="3"/>
    <s v="Norwich"/>
    <x v="1"/>
    <s v="Pen"/>
    <n v="4"/>
    <n v="117.7"/>
    <n v="0"/>
    <n v="856.25"/>
    <x v="0"/>
    <x v="0"/>
    <s v="Sale"/>
    <s v="OK"/>
    <n v="470.8"/>
    <n v="3425"/>
    <n v="-2954.2"/>
    <n v="-6.274851316907391"/>
  </r>
  <r>
    <s v="ORD1016"/>
    <d v="2024-09-03T00:00:00"/>
    <n v="9"/>
    <x v="6"/>
    <x v="1"/>
    <x v="6"/>
    <x v="15"/>
    <s v="Victor Thomas"/>
    <s v="Victor"/>
    <s v="Thomas"/>
    <x v="2"/>
    <s v="London"/>
    <x v="2"/>
    <s v="Chair"/>
    <n v="7"/>
    <n v="0"/>
    <n v="0.1"/>
    <n v="391.64"/>
    <x v="0"/>
    <x v="0"/>
    <s v="Sale"/>
    <s v="OK"/>
    <n v="0"/>
    <n v="2741.48"/>
    <n v="-2741.48"/>
    <s v=" "/>
  </r>
  <r>
    <s v="ORD1017"/>
    <d v="2024-10-23T00:00:00"/>
    <n v="10"/>
    <x v="10"/>
    <x v="1"/>
    <x v="10"/>
    <x v="16"/>
    <s v="Theresa Carlson"/>
    <s v="Theresa"/>
    <s v="Carlson"/>
    <x v="0"/>
    <s v="London"/>
    <x v="0"/>
    <s v="Laptop"/>
    <n v="6"/>
    <n v="878.35"/>
    <n v="0.05"/>
    <n v="853.01"/>
    <x v="2"/>
    <x v="0"/>
    <s v="Sale"/>
    <s v="OK"/>
    <n v="5006.5950000000003"/>
    <n v="5118.0599999999995"/>
    <n v="-111.46499999999924"/>
    <n v="-2.226363426640246E-2"/>
  </r>
  <r>
    <s v="ORD1018"/>
    <d v="2024-02-03T00:00:00"/>
    <n v="2"/>
    <x v="3"/>
    <x v="1"/>
    <x v="3"/>
    <x v="17"/>
    <s v="Rachel Collins"/>
    <s v="Rachel"/>
    <s v="Collins"/>
    <x v="4"/>
    <s v="Bristol"/>
    <x v="0"/>
    <s v="Mouse"/>
    <n v="10"/>
    <n v="930.98"/>
    <n v="0.05"/>
    <n v="584.5"/>
    <x v="1"/>
    <x v="0"/>
    <s v="Sale"/>
    <s v="OK"/>
    <n v="8844.31"/>
    <n v="5845"/>
    <n v="2999.3099999999995"/>
    <n v="0.33912311983636934"/>
  </r>
  <r>
    <s v="ORD1019"/>
    <d v="2024-03-08T00:00:00"/>
    <n v="3"/>
    <x v="9"/>
    <x v="1"/>
    <x v="9"/>
    <x v="18"/>
    <s v="Brandon Ingram"/>
    <s v="Brandon"/>
    <s v="Ingram"/>
    <x v="4"/>
    <s v="Leeds"/>
    <x v="0"/>
    <s v="Mouse"/>
    <n v="6"/>
    <n v="0"/>
    <n v="0.05"/>
    <n v="621.91999999999996"/>
    <x v="1"/>
    <x v="0"/>
    <s v="Sale"/>
    <s v="OK"/>
    <n v="0"/>
    <n v="3731.5199999999995"/>
    <n v="-3731.5199999999995"/>
    <s v=" "/>
  </r>
  <r>
    <s v="ORD1020"/>
    <d v="2025-03-26T00:00:00"/>
    <n v="3"/>
    <x v="5"/>
    <x v="0"/>
    <x v="5"/>
    <x v="0"/>
    <s v="Brian Schultz"/>
    <s v="Brian"/>
    <s v="Schultz"/>
    <x v="1"/>
    <s v="Bristol"/>
    <x v="0"/>
    <s v="Laptop"/>
    <n v="5"/>
    <n v="1251.45"/>
    <n v="0.2"/>
    <n v="612.45000000000005"/>
    <x v="2"/>
    <x v="0"/>
    <s v="Sale"/>
    <s v="OK"/>
    <n v="5005.8"/>
    <n v="3062.25"/>
    <n v="1943.5500000000002"/>
    <n v="0.38825961884214316"/>
  </r>
  <r>
    <s v="ORD1021"/>
    <d v="2025-03-31T00:00:00"/>
    <n v="3"/>
    <x v="5"/>
    <x v="0"/>
    <x v="5"/>
    <x v="3"/>
    <s v="Alicia Johnson"/>
    <s v="Alicia"/>
    <s v="Johnson"/>
    <x v="2"/>
    <s v="Manchester"/>
    <x v="0"/>
    <s v="Laptop"/>
    <n v="9"/>
    <n v="426.23"/>
    <n v="0.2"/>
    <n v="344.19"/>
    <x v="2"/>
    <x v="0"/>
    <s v="Sale"/>
    <s v="OK"/>
    <n v="3068.8560000000002"/>
    <n v="3097.71"/>
    <n v="-28.853999999999814"/>
    <n v="-9.4022006897683738E-3"/>
  </r>
  <r>
    <s v="ORD1022"/>
    <d v="2024-01-23T00:00:00"/>
    <n v="1"/>
    <x v="11"/>
    <x v="1"/>
    <x v="11"/>
    <x v="19"/>
    <s v="Brittney Smith"/>
    <s v="Brittney"/>
    <s v="Smith"/>
    <x v="0"/>
    <s v="Norwich"/>
    <x v="2"/>
    <s v="Chair"/>
    <n v="13"/>
    <n v="1469.8"/>
    <n v="0.2"/>
    <n v="442.95"/>
    <x v="0"/>
    <x v="0"/>
    <s v="Sale"/>
    <s v="OK"/>
    <n v="15285.919999999998"/>
    <n v="5758.3499999999995"/>
    <n v="9527.57"/>
    <n v="0.62329058375289159"/>
  </r>
  <r>
    <s v="ORD1023"/>
    <d v="2024-08-08T00:00:00"/>
    <n v="8"/>
    <x v="4"/>
    <x v="1"/>
    <x v="4"/>
    <x v="20"/>
    <s v="Andrew Burgess"/>
    <s v="Andrew"/>
    <s v="Burgess"/>
    <x v="0"/>
    <s v="Manchester"/>
    <x v="0"/>
    <s v="Monitor"/>
    <n v="5"/>
    <n v="1399.97"/>
    <n v="0.1"/>
    <n v="41.82"/>
    <x v="3"/>
    <x v="0"/>
    <s v="Sale"/>
    <s v="OK"/>
    <n v="6299.8650000000007"/>
    <n v="209.1"/>
    <n v="6090.7650000000003"/>
    <n v="0.96680881256979312"/>
  </r>
  <r>
    <s v="ORD1024"/>
    <d v="2025-05-14T00:00:00"/>
    <n v="5"/>
    <x v="12"/>
    <x v="0"/>
    <x v="12"/>
    <x v="21"/>
    <s v="Mary Lewis"/>
    <s v="Mary"/>
    <s v="Lewis"/>
    <x v="1"/>
    <s v="London"/>
    <x v="0"/>
    <s v="Monitor"/>
    <n v="-7"/>
    <n v="1106.1600000000001"/>
    <n v="0.2"/>
    <n v="930.95"/>
    <x v="2"/>
    <x v="1"/>
    <s v="Return"/>
    <s v="OK"/>
    <n v="-6194.496000000001"/>
    <n v="-6516.6500000000005"/>
    <n v="322.15399999999954"/>
    <n v="-5.2006490923555283E-2"/>
  </r>
  <r>
    <s v="ORD1025"/>
    <d v="2024-04-23T00:00:00"/>
    <n v="4"/>
    <x v="13"/>
    <x v="1"/>
    <x v="13"/>
    <x v="22"/>
    <s v="Adam Rowland"/>
    <s v="Adam"/>
    <s v="Rowland"/>
    <x v="5"/>
    <s v="Manchester"/>
    <x v="0"/>
    <s v="Mouse"/>
    <n v="15"/>
    <n v="461.26"/>
    <n v="0"/>
    <n v="229.14"/>
    <x v="2"/>
    <x v="0"/>
    <s v="Sale"/>
    <s v="OK"/>
    <n v="6918.9"/>
    <n v="3437.1"/>
    <n v="3481.7999999999997"/>
    <n v="0.50323028227030309"/>
  </r>
  <r>
    <s v="ORD1026"/>
    <d v="2024-12-13T00:00:00"/>
    <n v="12"/>
    <x v="2"/>
    <x v="1"/>
    <x v="2"/>
    <x v="23"/>
    <s v="Daniel Martinez"/>
    <s v="Daniel"/>
    <s v="Martinez"/>
    <x v="3"/>
    <s v="Manchester"/>
    <x v="0"/>
    <s v="Mouse"/>
    <n v="1"/>
    <n v="1455.75"/>
    <n v="0.1"/>
    <n v="962.61"/>
    <x v="1"/>
    <x v="1"/>
    <s v="Sale"/>
    <s v="Check"/>
    <n v="1310.175"/>
    <n v="962.61"/>
    <n v="347.56499999999994"/>
    <n v="0.26528135554410665"/>
  </r>
  <r>
    <s v="ORD1027"/>
    <d v="2024-02-29T00:00:00"/>
    <n v="2"/>
    <x v="3"/>
    <x v="1"/>
    <x v="3"/>
    <x v="24"/>
    <s v="Cassandra Mcknight"/>
    <s v="Cassandra"/>
    <s v="Mcknight"/>
    <x v="4"/>
    <s v="Manchester"/>
    <x v="1"/>
    <s v="Stapler"/>
    <n v="-5"/>
    <n v="656.91"/>
    <n v="0.2"/>
    <n v="806.9"/>
    <x v="3"/>
    <x v="0"/>
    <s v="Return"/>
    <s v="OK"/>
    <n v="-2627.64"/>
    <n v="-4034.5"/>
    <n v="1406.8600000000001"/>
    <n v="-0.53540819899225167"/>
  </r>
  <r>
    <s v="ORD1028"/>
    <d v="2024-05-12T00:00:00"/>
    <n v="5"/>
    <x v="14"/>
    <x v="1"/>
    <x v="14"/>
    <x v="25"/>
    <s v="Jeremy Brown"/>
    <s v="Jeremy"/>
    <s v="Brown"/>
    <x v="3"/>
    <s v="Bristol"/>
    <x v="0"/>
    <s v="Keyboard"/>
    <n v="5"/>
    <n v="1002"/>
    <n v="0.05"/>
    <n v="697.81"/>
    <x v="0"/>
    <x v="0"/>
    <s v="Sale"/>
    <s v="OK"/>
    <n v="4759.5"/>
    <n v="3489.0499999999997"/>
    <n v="1270.4500000000003"/>
    <n v="0.26692929929614462"/>
  </r>
  <r>
    <s v="ORD1029"/>
    <d v="2025-03-02T00:00:00"/>
    <n v="3"/>
    <x v="5"/>
    <x v="0"/>
    <x v="5"/>
    <x v="26"/>
    <s v="James Byrd"/>
    <s v="James"/>
    <s v="Byrd"/>
    <x v="2"/>
    <s v="Bristol"/>
    <x v="2"/>
    <s v="Cabinet"/>
    <n v="5"/>
    <n v="1179.71"/>
    <n v="0.1"/>
    <n v="323.60000000000002"/>
    <x v="0"/>
    <x v="0"/>
    <s v="Sale"/>
    <s v="OK"/>
    <n v="5308.6950000000006"/>
    <n v="1618"/>
    <n v="3690.6950000000006"/>
    <n v="0.69521699777440593"/>
  </r>
  <r>
    <s v="ORD1030"/>
    <d v="2024-02-17T00:00:00"/>
    <n v="2"/>
    <x v="3"/>
    <x v="1"/>
    <x v="3"/>
    <x v="27"/>
    <s v="Aaron Jones"/>
    <s v="Aaron"/>
    <s v="Jones"/>
    <x v="0"/>
    <s v="Birmingham"/>
    <x v="0"/>
    <s v="Keyboard"/>
    <n v="11"/>
    <n v="1210.81"/>
    <n v="0.1"/>
    <n v="48.12"/>
    <x v="3"/>
    <x v="0"/>
    <s v="Sale"/>
    <s v="OK"/>
    <n v="11987.019"/>
    <n v="529.31999999999994"/>
    <n v="11457.699000000001"/>
    <n v="0.95584223233482823"/>
  </r>
  <r>
    <s v="ORD1031"/>
    <d v="2024-07-23T00:00:00"/>
    <n v="7"/>
    <x v="1"/>
    <x v="1"/>
    <x v="1"/>
    <x v="4"/>
    <s v="Martin Johnson"/>
    <s v="Martin"/>
    <s v="Johnson"/>
    <x v="2"/>
    <s v="Norwich"/>
    <x v="2"/>
    <s v="Chair"/>
    <n v="11"/>
    <n v="1339.53"/>
    <n v="0.1"/>
    <n v="885.69"/>
    <x v="0"/>
    <x v="0"/>
    <s v="Sale"/>
    <s v="OK"/>
    <n v="13261.347"/>
    <n v="9742.59"/>
    <n v="3518.7569999999996"/>
    <n v="0.26533933543854932"/>
  </r>
  <r>
    <s v="ORD1032"/>
    <d v="2025-02-14T00:00:00"/>
    <n v="2"/>
    <x v="15"/>
    <x v="0"/>
    <x v="15"/>
    <x v="8"/>
    <s v="Dorothy English"/>
    <s v="Dorothy"/>
    <s v="English"/>
    <x v="2"/>
    <s v="London"/>
    <x v="2"/>
    <s v="Desk"/>
    <n v="9"/>
    <n v="1425.31"/>
    <n v="0.2"/>
    <n v="613.42999999999995"/>
    <x v="3"/>
    <x v="1"/>
    <s v="Sale"/>
    <s v="Check"/>
    <n v="10262.232"/>
    <n v="5520.87"/>
    <n v="4741.3620000000001"/>
    <n v="0.46202054289943945"/>
  </r>
  <r>
    <s v="ORD1033"/>
    <d v="2025-06-03T00:00:00"/>
    <n v="6"/>
    <x v="16"/>
    <x v="0"/>
    <x v="16"/>
    <x v="28"/>
    <s v="Judy Mendoza"/>
    <s v="Judy"/>
    <s v="Mendoza"/>
    <x v="0"/>
    <s v="London"/>
    <x v="0"/>
    <s v="Monitor"/>
    <n v="9"/>
    <n v="362.67"/>
    <n v="0.05"/>
    <n v="714.12"/>
    <x v="0"/>
    <x v="0"/>
    <s v="Sale"/>
    <s v="OK"/>
    <n v="3100.8285000000001"/>
    <n v="6427.08"/>
    <n v="-3326.2514999999999"/>
    <n v="-1.0726976677362194"/>
  </r>
  <r>
    <s v="ORD1034"/>
    <d v="2024-03-19T00:00:00"/>
    <n v="3"/>
    <x v="9"/>
    <x v="1"/>
    <x v="9"/>
    <x v="7"/>
    <s v="Mark Jordan"/>
    <s v="Mark"/>
    <s v="Jordan"/>
    <x v="3"/>
    <s v="Leeds"/>
    <x v="2"/>
    <s v="Cabinet"/>
    <n v="7"/>
    <n v="701.56"/>
    <n v="0.1"/>
    <n v="833.23"/>
    <x v="3"/>
    <x v="1"/>
    <s v="Sale"/>
    <s v="Check"/>
    <n v="4419.8280000000004"/>
    <n v="5832.6100000000006"/>
    <n v="-1412.7820000000002"/>
    <n v="-0.3196463753793134"/>
  </r>
  <r>
    <s v="ORD1035"/>
    <d v="2024-01-06T00:00:00"/>
    <n v="1"/>
    <x v="11"/>
    <x v="1"/>
    <x v="11"/>
    <x v="29"/>
    <s v="Jonathan Turner"/>
    <s v="Jonathan"/>
    <s v="Turner"/>
    <x v="3"/>
    <s v="Birmingham"/>
    <x v="0"/>
    <s v="Keyboard"/>
    <n v="14"/>
    <n v="1122.54"/>
    <n v="0.05"/>
    <n v="604.04999999999995"/>
    <x v="2"/>
    <x v="1"/>
    <s v="Sale"/>
    <s v="Check"/>
    <n v="14929.781999999999"/>
    <n v="8456.6999999999989"/>
    <n v="6473.0820000000003"/>
    <n v="0.43356842048999783"/>
  </r>
  <r>
    <s v="ORD1036"/>
    <d v="2025-01-05T00:00:00"/>
    <n v="1"/>
    <x v="0"/>
    <x v="0"/>
    <x v="0"/>
    <x v="9"/>
    <s v="Oscar Meyers"/>
    <s v="Oscar"/>
    <s v="Meyers"/>
    <x v="0"/>
    <s v="Bristol"/>
    <x v="0"/>
    <s v="Mouse"/>
    <n v="8"/>
    <n v="1471.18"/>
    <n v="0.05"/>
    <n v="907.12"/>
    <x v="3"/>
    <x v="0"/>
    <s v="Sale"/>
    <s v="OK"/>
    <n v="11180.968000000001"/>
    <n v="7256.96"/>
    <n v="3924.0080000000007"/>
    <n v="0.35095422864997022"/>
  </r>
  <r>
    <s v="ORD1037"/>
    <d v="2024-01-26T00:00:00"/>
    <n v="1"/>
    <x v="11"/>
    <x v="1"/>
    <x v="11"/>
    <x v="30"/>
    <s v="Jesse Collins"/>
    <s v="Jesse"/>
    <s v="Collins"/>
    <x v="2"/>
    <s v="Norwich"/>
    <x v="2"/>
    <s v="Desk"/>
    <n v="6"/>
    <n v="493.63"/>
    <n v="0.1"/>
    <n v="380.37"/>
    <x v="2"/>
    <x v="0"/>
    <s v="Sale"/>
    <s v="OK"/>
    <n v="2665.6019999999999"/>
    <n v="2282.2200000000003"/>
    <n v="383.38199999999961"/>
    <n v="0.14382567239970545"/>
  </r>
  <r>
    <s v="ORD1038"/>
    <d v="2025-02-03T00:00:00"/>
    <n v="2"/>
    <x v="15"/>
    <x v="0"/>
    <x v="15"/>
    <x v="12"/>
    <s v="Anthony Sanchez"/>
    <s v="Anthony"/>
    <s v="Sanchez"/>
    <x v="4"/>
    <s v="Birmingham"/>
    <x v="0"/>
    <s v="Laptop"/>
    <n v="1"/>
    <n v="0"/>
    <n v="0.05"/>
    <n v="154.08000000000001"/>
    <x v="1"/>
    <x v="0"/>
    <s v="Sale"/>
    <s v="OK"/>
    <n v="0"/>
    <n v="154.08000000000001"/>
    <n v="-154.08000000000001"/>
    <s v=" "/>
  </r>
  <r>
    <s v="ORD1039"/>
    <d v="2025-02-02T00:00:00"/>
    <n v="2"/>
    <x v="15"/>
    <x v="0"/>
    <x v="15"/>
    <x v="31"/>
    <s v="Elizabeth Wolfe"/>
    <s v="Elizabeth"/>
    <s v="Wolfe"/>
    <x v="4"/>
    <s v="Norwich"/>
    <x v="0"/>
    <s v="Laptop"/>
    <n v="2"/>
    <n v="1393.69"/>
    <n v="0.1"/>
    <n v="908.21"/>
    <x v="0"/>
    <x v="0"/>
    <s v="Sale"/>
    <s v="OK"/>
    <n v="2508.6420000000003"/>
    <n v="1816.42"/>
    <n v="692.22200000000021"/>
    <n v="0.27593494807150648"/>
  </r>
  <r>
    <s v="ORD1040"/>
    <d v="2025-11-02T00:00:00"/>
    <n v="11"/>
    <x v="17"/>
    <x v="0"/>
    <x v="17"/>
    <x v="32"/>
    <s v="Tammy Tucker"/>
    <s v="Tammy"/>
    <s v="Tucker"/>
    <x v="0"/>
    <s v="Birmingham"/>
    <x v="0"/>
    <s v="Laptop"/>
    <n v="6"/>
    <n v="993.97"/>
    <n v="0"/>
    <n v="648.25"/>
    <x v="1"/>
    <x v="1"/>
    <s v="Sale"/>
    <s v="Check"/>
    <n v="5963.82"/>
    <n v="3889.5"/>
    <n v="2074.3199999999997"/>
    <n v="0.34781733855146529"/>
  </r>
  <r>
    <s v="ORD1041"/>
    <d v="2024-03-31T00:00:00"/>
    <n v="3"/>
    <x v="9"/>
    <x v="1"/>
    <x v="9"/>
    <x v="33"/>
    <s v="Michelle Woodard"/>
    <s v="Michelle"/>
    <s v="Woodard"/>
    <x v="4"/>
    <s v="Norwich"/>
    <x v="0"/>
    <s v="Mouse"/>
    <n v="5"/>
    <n v="1379.83"/>
    <n v="0.2"/>
    <n v="465.94"/>
    <x v="1"/>
    <x v="1"/>
    <s v="Sale"/>
    <s v="Check"/>
    <n v="5519.32"/>
    <n v="2329.6999999999998"/>
    <n v="3189.62"/>
    <n v="0.57790090083561019"/>
  </r>
  <r>
    <s v="ORD1042"/>
    <d v="2024-10-18T00:00:00"/>
    <n v="10"/>
    <x v="10"/>
    <x v="1"/>
    <x v="10"/>
    <x v="13"/>
    <s v="Michele Mullins"/>
    <s v="Michele"/>
    <s v="Mullins"/>
    <x v="1"/>
    <s v="Leeds"/>
    <x v="0"/>
    <s v="Mouse"/>
    <n v="1"/>
    <n v="490.9"/>
    <n v="0.1"/>
    <n v="356.12"/>
    <x v="2"/>
    <x v="0"/>
    <s v="Sale"/>
    <s v="OK"/>
    <n v="441.81"/>
    <n v="356.12"/>
    <n v="85.69"/>
    <n v="0.19395215137728888"/>
  </r>
  <r>
    <s v="ORD1043"/>
    <d v="2025-03-01T00:00:00"/>
    <n v="3"/>
    <x v="5"/>
    <x v="0"/>
    <x v="5"/>
    <x v="34"/>
    <s v="Chase Murray"/>
    <s v="Chase"/>
    <s v="Murray"/>
    <x v="4"/>
    <s v="Manchester"/>
    <x v="0"/>
    <s v="Monitor"/>
    <n v="4"/>
    <n v="970.62"/>
    <n v="0"/>
    <n v="793.35"/>
    <x v="1"/>
    <x v="1"/>
    <s v="Sale"/>
    <s v="Check"/>
    <n v="3882.48"/>
    <n v="3173.4"/>
    <n v="709.07999999999993"/>
    <n v="0.1826358410088397"/>
  </r>
  <r>
    <s v="ORD1044"/>
    <d v="2024-06-25T00:00:00"/>
    <n v="6"/>
    <x v="7"/>
    <x v="1"/>
    <x v="7"/>
    <x v="35"/>
    <s v="Jonathan Lynn"/>
    <s v="Jonathan"/>
    <s v="Lynn"/>
    <x v="2"/>
    <s v="London"/>
    <x v="1"/>
    <s v="Stapler"/>
    <n v="6"/>
    <n v="683.35"/>
    <n v="0.2"/>
    <n v="232.08"/>
    <x v="0"/>
    <x v="1"/>
    <s v="Sale"/>
    <s v="Check"/>
    <n v="3280.0800000000004"/>
    <n v="1392.48"/>
    <n v="1887.6000000000004"/>
    <n v="0.57547376893246516"/>
  </r>
  <r>
    <s v="ORD1045"/>
    <d v="2024-02-21T00:00:00"/>
    <n v="2"/>
    <x v="3"/>
    <x v="1"/>
    <x v="3"/>
    <x v="36"/>
    <s v="Kaitlin Gray"/>
    <s v="Kaitlin"/>
    <s v="Gray"/>
    <x v="2"/>
    <s v="Bristol"/>
    <x v="0"/>
    <s v="Keyboard"/>
    <n v="6"/>
    <n v="26.15"/>
    <n v="0"/>
    <n v="275.76"/>
    <x v="3"/>
    <x v="0"/>
    <s v="Sale"/>
    <s v="OK"/>
    <n v="156.89999999999998"/>
    <n v="1654.56"/>
    <n v="-1497.6599999999999"/>
    <n v="-9.5453154875717026"/>
  </r>
  <r>
    <s v="ORD1046"/>
    <d v="2024-08-28T00:00:00"/>
    <n v="8"/>
    <x v="4"/>
    <x v="1"/>
    <x v="4"/>
    <x v="11"/>
    <s v="Jennifer Munoz"/>
    <s v="Jennifer"/>
    <s v="Munoz"/>
    <x v="3"/>
    <s v="London"/>
    <x v="0"/>
    <s v="Keyboard"/>
    <n v="1"/>
    <n v="1293.28"/>
    <n v="0.1"/>
    <n v="67.209999999999994"/>
    <x v="0"/>
    <x v="0"/>
    <s v="Sale"/>
    <s v="OK"/>
    <n v="1163.952"/>
    <n v="67.209999999999994"/>
    <n v="1096.742"/>
    <n v="0.94225706902002826"/>
  </r>
  <r>
    <s v="ORD1047"/>
    <d v="2024-03-01T00:00:00"/>
    <n v="3"/>
    <x v="9"/>
    <x v="1"/>
    <x v="9"/>
    <x v="37"/>
    <s v="Brenda Ward"/>
    <s v="Brenda"/>
    <s v="Ward"/>
    <x v="3"/>
    <s v="Manchester"/>
    <x v="0"/>
    <s v="Monitor"/>
    <n v="10"/>
    <n v="342.4"/>
    <n v="0.1"/>
    <n v="451.61"/>
    <x v="2"/>
    <x v="0"/>
    <s v="Sale"/>
    <s v="OK"/>
    <n v="3081.6"/>
    <n v="4516.1000000000004"/>
    <n v="-1434.5000000000005"/>
    <n v="-0.46550493250259622"/>
  </r>
  <r>
    <s v="ORD1048"/>
    <d v="2024-05-15T00:00:00"/>
    <n v="5"/>
    <x v="14"/>
    <x v="1"/>
    <x v="14"/>
    <x v="0"/>
    <s v="Martha Powell"/>
    <s v="Martha"/>
    <s v="Powell"/>
    <x v="1"/>
    <s v="Bristol"/>
    <x v="0"/>
    <s v="Monitor"/>
    <n v="3"/>
    <n v="239.02"/>
    <n v="0.1"/>
    <n v="689.99"/>
    <x v="1"/>
    <x v="1"/>
    <s v="Sale"/>
    <s v="Check"/>
    <n v="645.35400000000004"/>
    <n v="2069.9700000000003"/>
    <n v="-1424.6160000000002"/>
    <n v="-2.2074954211177125"/>
  </r>
  <r>
    <s v="ORD1049"/>
    <d v="2025-04-18T00:00:00"/>
    <n v="4"/>
    <x v="8"/>
    <x v="0"/>
    <x v="8"/>
    <x v="4"/>
    <s v="Abigail Roberts"/>
    <s v="Abigail"/>
    <s v="Roberts"/>
    <x v="1"/>
    <s v="London"/>
    <x v="0"/>
    <s v="Monitor"/>
    <n v="13"/>
    <n v="993.47"/>
    <n v="0.05"/>
    <n v="426.29"/>
    <x v="2"/>
    <x v="0"/>
    <s v="Sale"/>
    <s v="OK"/>
    <n v="12269.354499999999"/>
    <n v="5541.77"/>
    <n v="6727.584499999999"/>
    <n v="0.54832424150757064"/>
  </r>
  <r>
    <s v="ORD1050"/>
    <d v="2024-10-31T00:00:00"/>
    <n v="10"/>
    <x v="10"/>
    <x v="1"/>
    <x v="10"/>
    <x v="8"/>
    <s v="Arthur Calhoun"/>
    <s v="Arthur"/>
    <s v="Calhoun"/>
    <x v="2"/>
    <s v="Norwich"/>
    <x v="0"/>
    <s v="Keyboard"/>
    <n v="5"/>
    <n v="705.7"/>
    <n v="0.1"/>
    <n v="403.7"/>
    <x v="2"/>
    <x v="1"/>
    <s v="Sale"/>
    <s v="Check"/>
    <n v="3175.65"/>
    <n v="2018.5"/>
    <n v="1157.1500000000001"/>
    <n v="0.3643820950041724"/>
  </r>
  <r>
    <s v="ORD1051"/>
    <d v="2024-01-14T00:00:00"/>
    <n v="1"/>
    <x v="11"/>
    <x v="1"/>
    <x v="11"/>
    <x v="28"/>
    <s v="Loretta Wilson"/>
    <s v="Loretta"/>
    <s v="Wilson"/>
    <x v="2"/>
    <s v="Birmingham"/>
    <x v="0"/>
    <s v="Keyboard"/>
    <n v="11"/>
    <n v="864.92"/>
    <n v="0.2"/>
    <n v="999.57"/>
    <x v="3"/>
    <x v="0"/>
    <s v="Sale"/>
    <s v="OK"/>
    <n v="7611.2959999999994"/>
    <n v="10995.27"/>
    <n v="-3383.9740000000011"/>
    <n v="-0.44459892244369437"/>
  </r>
  <r>
    <s v="ORD1052"/>
    <d v="2024-11-21T00:00:00"/>
    <n v="11"/>
    <x v="18"/>
    <x v="1"/>
    <x v="18"/>
    <x v="38"/>
    <s v="Dana Mccormick"/>
    <s v="Dana"/>
    <s v="Mccormick"/>
    <x v="1"/>
    <s v="Bristol"/>
    <x v="0"/>
    <s v="Mouse"/>
    <n v="8"/>
    <n v="503.3"/>
    <n v="0.1"/>
    <n v="858.02"/>
    <x v="3"/>
    <x v="0"/>
    <s v="Sale"/>
    <s v="OK"/>
    <n v="3623.76"/>
    <n v="6864.16"/>
    <n v="-3240.3999999999996"/>
    <n v="-0.89420932953617227"/>
  </r>
  <r>
    <s v="ORD1053"/>
    <d v="2024-06-10T00:00:00"/>
    <n v="6"/>
    <x v="7"/>
    <x v="1"/>
    <x v="7"/>
    <x v="39"/>
    <s v="Darrell Price"/>
    <s v="Darrell"/>
    <s v="Price"/>
    <x v="3"/>
    <s v="London"/>
    <x v="2"/>
    <s v="Desk"/>
    <n v="2"/>
    <n v="609.24"/>
    <n v="0.2"/>
    <n v="988.14"/>
    <x v="1"/>
    <x v="1"/>
    <s v="Sale"/>
    <s v="Check"/>
    <n v="974.78400000000011"/>
    <n v="1976.28"/>
    <n v="-1001.4959999999999"/>
    <n v="-1.0274029938940317"/>
  </r>
  <r>
    <s v="ORD1054"/>
    <d v="2024-04-14T00:00:00"/>
    <n v="4"/>
    <x v="13"/>
    <x v="1"/>
    <x v="13"/>
    <x v="40"/>
    <s v="David Pope"/>
    <s v="David"/>
    <s v="Pope"/>
    <x v="2"/>
    <s v="Manchester"/>
    <x v="2"/>
    <s v="Desk"/>
    <n v="3"/>
    <n v="659.98"/>
    <n v="0.2"/>
    <n v="123.18"/>
    <x v="2"/>
    <x v="1"/>
    <s v="Sale"/>
    <s v="Check"/>
    <n v="1583.9520000000002"/>
    <n v="369.54"/>
    <n v="1214.4120000000003"/>
    <n v="0.76669747568108126"/>
  </r>
  <r>
    <s v="ORD1055"/>
    <d v="2025-03-06T00:00:00"/>
    <n v="3"/>
    <x v="5"/>
    <x v="0"/>
    <x v="5"/>
    <x v="28"/>
    <s v="Charles Petersen"/>
    <s v="Charles"/>
    <s v="Petersen"/>
    <x v="2"/>
    <s v="Birmingham"/>
    <x v="0"/>
    <s v="Monitor"/>
    <n v="2"/>
    <n v="235.19"/>
    <n v="0.2"/>
    <n v="293.27999999999997"/>
    <x v="0"/>
    <x v="1"/>
    <s v="Sale"/>
    <s v="Check"/>
    <n v="376.30400000000003"/>
    <n v="586.55999999999995"/>
    <n v="-210.25599999999991"/>
    <n v="-0.55873974233598345"/>
  </r>
  <r>
    <s v="ORD1056"/>
    <d v="2024-07-15T00:00:00"/>
    <n v="7"/>
    <x v="1"/>
    <x v="1"/>
    <x v="1"/>
    <x v="13"/>
    <s v="Jerry Wolf"/>
    <s v="Jerry"/>
    <s v="Wolf"/>
    <x v="1"/>
    <s v="Norwich"/>
    <x v="1"/>
    <s v="Paper"/>
    <n v="10"/>
    <n v="1319.59"/>
    <n v="0.1"/>
    <n v="277.69"/>
    <x v="1"/>
    <x v="0"/>
    <s v="Sale"/>
    <s v="OK"/>
    <n v="11876.31"/>
    <n v="2776.9"/>
    <n v="9099.41"/>
    <n v="0.76618158333691189"/>
  </r>
  <r>
    <s v="ORD1057"/>
    <d v="2024-12-03T00:00:00"/>
    <n v="12"/>
    <x v="2"/>
    <x v="1"/>
    <x v="2"/>
    <x v="35"/>
    <s v="Tracy Prince"/>
    <s v="Tracy"/>
    <s v="Prince"/>
    <x v="4"/>
    <s v="Leeds"/>
    <x v="1"/>
    <s v="Stapler"/>
    <n v="9"/>
    <n v="502"/>
    <n v="0.1"/>
    <n v="378.46"/>
    <x v="3"/>
    <x v="0"/>
    <s v="Sale"/>
    <s v="OK"/>
    <n v="4066.2000000000003"/>
    <n v="3406.14"/>
    <n v="660.0600000000004"/>
    <n v="0.16232846392208949"/>
  </r>
  <r>
    <s v="ORD1058"/>
    <d v="2024-11-06T00:00:00"/>
    <n v="11"/>
    <x v="18"/>
    <x v="1"/>
    <x v="18"/>
    <x v="41"/>
    <s v="Michelle Case"/>
    <s v="Michelle"/>
    <s v="Case"/>
    <x v="2"/>
    <s v="Leeds"/>
    <x v="2"/>
    <s v="Desk"/>
    <n v="13"/>
    <n v="1482.68"/>
    <n v="0.05"/>
    <n v="652.71"/>
    <x v="1"/>
    <x v="0"/>
    <s v="Sale"/>
    <s v="OK"/>
    <n v="18311.097999999998"/>
    <n v="8485.23"/>
    <n v="9825.8679999999986"/>
    <n v="0.53660725315325164"/>
  </r>
  <r>
    <s v="ORD1059"/>
    <d v="2024-09-26T00:00:00"/>
    <n v="9"/>
    <x v="6"/>
    <x v="1"/>
    <x v="6"/>
    <x v="13"/>
    <s v="Monique House"/>
    <s v="Monique"/>
    <s v="House"/>
    <x v="3"/>
    <s v="Bristol"/>
    <x v="2"/>
    <s v="Desk"/>
    <n v="3"/>
    <n v="983.9"/>
    <n v="0.1"/>
    <n v="470.55"/>
    <x v="2"/>
    <x v="0"/>
    <s v="Sale"/>
    <s v="OK"/>
    <n v="2656.5299999999997"/>
    <n v="1411.65"/>
    <n v="1244.8799999999997"/>
    <n v="0.4686113087373377"/>
  </r>
  <r>
    <s v="ORD1060"/>
    <d v="2025-03-05T00:00:00"/>
    <n v="3"/>
    <x v="5"/>
    <x v="0"/>
    <x v="5"/>
    <x v="15"/>
    <s v="Michael Stout"/>
    <s v="Michael"/>
    <s v="Stout"/>
    <x v="0"/>
    <s v="Birmingham"/>
    <x v="1"/>
    <s v="Pen"/>
    <n v="13"/>
    <n v="813.82"/>
    <n v="0.2"/>
    <n v="236.3"/>
    <x v="2"/>
    <x v="0"/>
    <s v="Sale"/>
    <s v="OK"/>
    <n v="8463.728000000001"/>
    <n v="3071.9"/>
    <n v="5391.8280000000013"/>
    <n v="0.63705119068098603"/>
  </r>
  <r>
    <s v="ORD1061"/>
    <d v="2024-12-21T00:00:00"/>
    <n v="12"/>
    <x v="2"/>
    <x v="1"/>
    <x v="2"/>
    <x v="42"/>
    <s v="Krista Vega"/>
    <s v="Krista"/>
    <s v="Vega"/>
    <x v="2"/>
    <s v="London"/>
    <x v="2"/>
    <s v="Desk"/>
    <n v="-1"/>
    <n v="1195.23"/>
    <n v="0.05"/>
    <n v="376.09"/>
    <x v="0"/>
    <x v="0"/>
    <s v="Return"/>
    <s v="OK"/>
    <n v="-1135.4684999999999"/>
    <n v="-376.09"/>
    <n v="-759.37850000000003"/>
    <n v="0.66877989129597171"/>
  </r>
  <r>
    <s v="ORD1062"/>
    <d v="2024-11-13T00:00:00"/>
    <n v="11"/>
    <x v="18"/>
    <x v="1"/>
    <x v="18"/>
    <x v="43"/>
    <s v="Jessica Ellis"/>
    <s v="Jessica"/>
    <s v="Ellis"/>
    <x v="2"/>
    <s v="Norwich"/>
    <x v="1"/>
    <s v="Pen"/>
    <n v="10"/>
    <n v="694.42"/>
    <n v="0"/>
    <n v="256.82"/>
    <x v="3"/>
    <x v="0"/>
    <s v="Sale"/>
    <s v="OK"/>
    <n v="6944.2"/>
    <n v="2568.1999999999998"/>
    <n v="4376"/>
    <n v="0.63016618184960116"/>
  </r>
  <r>
    <s v="ORD1063"/>
    <d v="2024-11-23T00:00:00"/>
    <n v="11"/>
    <x v="18"/>
    <x v="1"/>
    <x v="18"/>
    <x v="2"/>
    <s v="Javier Mendoza"/>
    <s v="Javier"/>
    <s v="Mendoza"/>
    <x v="1"/>
    <s v="Bristol"/>
    <x v="1"/>
    <s v="Pen"/>
    <n v="8"/>
    <n v="302.83"/>
    <n v="0.05"/>
    <n v="484.24"/>
    <x v="1"/>
    <x v="0"/>
    <s v="Sale"/>
    <s v="OK"/>
    <n v="2301.5079999999998"/>
    <n v="3873.92"/>
    <n v="-1572.4120000000003"/>
    <n v="-0.68320944354744817"/>
  </r>
  <r>
    <s v="ORD1064"/>
    <d v="2024-05-01T00:00:00"/>
    <n v="5"/>
    <x v="14"/>
    <x v="1"/>
    <x v="14"/>
    <x v="44"/>
    <s v="Margaret Miller"/>
    <s v="Margaret"/>
    <s v="Miller"/>
    <x v="5"/>
    <s v="London"/>
    <x v="2"/>
    <s v="Chair"/>
    <n v="12"/>
    <n v="1366.37"/>
    <n v="0.1"/>
    <n v="833.17"/>
    <x v="0"/>
    <x v="0"/>
    <s v="Sale"/>
    <s v="OK"/>
    <n v="14756.795999999998"/>
    <n v="9998.0399999999991"/>
    <n v="4758.7559999999994"/>
    <n v="0.32247894461643301"/>
  </r>
  <r>
    <s v="ORD1065"/>
    <d v="2025-04-07T00:00:00"/>
    <n v="4"/>
    <x v="8"/>
    <x v="0"/>
    <x v="8"/>
    <x v="45"/>
    <s v="Andrea Robinson"/>
    <s v="Andrea"/>
    <s v="Robinson"/>
    <x v="2"/>
    <s v="London"/>
    <x v="0"/>
    <s v="Laptop"/>
    <n v="13"/>
    <n v="871.46"/>
    <n v="0.1"/>
    <n v="91.95"/>
    <x v="0"/>
    <x v="0"/>
    <s v="Sale"/>
    <s v="OK"/>
    <n v="10196.082"/>
    <n v="1195.3500000000001"/>
    <n v="9000.732"/>
    <n v="0.88276379103267311"/>
  </r>
  <r>
    <s v="ORD1066"/>
    <d v="2025-04-12T00:00:00"/>
    <n v="4"/>
    <x v="8"/>
    <x v="0"/>
    <x v="8"/>
    <x v="13"/>
    <s v="Amy Ward"/>
    <s v="Amy"/>
    <s v="Ward"/>
    <x v="2"/>
    <s v="Norwich"/>
    <x v="1"/>
    <s v="Stapler"/>
    <n v="3"/>
    <n v="1237.9100000000001"/>
    <n v="0.2"/>
    <n v="806.88"/>
    <x v="0"/>
    <x v="0"/>
    <s v="Sale"/>
    <s v="OK"/>
    <n v="2970.9840000000004"/>
    <n v="2420.64"/>
    <n v="550.34400000000051"/>
    <n v="0.18523963777657518"/>
  </r>
  <r>
    <s v="ORD1067"/>
    <d v="2024-07-06T00:00:00"/>
    <n v="7"/>
    <x v="1"/>
    <x v="1"/>
    <x v="1"/>
    <x v="46"/>
    <s v="Peter Villa"/>
    <s v="Peter"/>
    <s v="Villa"/>
    <x v="5"/>
    <s v="Norwich"/>
    <x v="2"/>
    <s v="Cabinet"/>
    <n v="-7"/>
    <n v="807.18"/>
    <n v="0.2"/>
    <n v="673.48"/>
    <x v="0"/>
    <x v="1"/>
    <s v="Return"/>
    <s v="OK"/>
    <n v="-4520.2079999999996"/>
    <n v="-4714.3600000000006"/>
    <n v="194.15200000000095"/>
    <n v="-4.2952005748408253E-2"/>
  </r>
  <r>
    <s v="ORD1068"/>
    <d v="2025-04-13T00:00:00"/>
    <n v="4"/>
    <x v="8"/>
    <x v="0"/>
    <x v="8"/>
    <x v="47"/>
    <s v="Tasha Herman"/>
    <s v="Tasha"/>
    <s v="Herman"/>
    <x v="1"/>
    <s v="Birmingham"/>
    <x v="0"/>
    <s v="Keyboard"/>
    <n v="11"/>
    <n v="1364.53"/>
    <n v="0.05"/>
    <n v="409.48"/>
    <x v="2"/>
    <x v="0"/>
    <s v="Sale"/>
    <s v="OK"/>
    <n v="14259.3385"/>
    <n v="4504.2800000000007"/>
    <n v="9755.0584999999992"/>
    <n v="0.68411718397736332"/>
  </r>
  <r>
    <s v="ORD1069"/>
    <d v="2024-07-17T00:00:00"/>
    <n v="7"/>
    <x v="1"/>
    <x v="1"/>
    <x v="1"/>
    <x v="48"/>
    <s v="Diana Williams"/>
    <s v="Diana"/>
    <s v="Williams"/>
    <x v="2"/>
    <s v="Leeds"/>
    <x v="0"/>
    <s v="Monitor"/>
    <n v="12"/>
    <n v="812.59"/>
    <n v="0.1"/>
    <n v="727.15"/>
    <x v="3"/>
    <x v="0"/>
    <s v="Sale"/>
    <s v="OK"/>
    <n v="8775.9719999999998"/>
    <n v="8725.7999999999993"/>
    <n v="50.17200000000048"/>
    <n v="5.7169735728419008E-3"/>
  </r>
  <r>
    <s v="ORD1070"/>
    <d v="2024-04-21T00:00:00"/>
    <n v="4"/>
    <x v="13"/>
    <x v="1"/>
    <x v="13"/>
    <x v="49"/>
    <s v="Donna Allen"/>
    <s v="Donna"/>
    <s v="Allen"/>
    <x v="1"/>
    <s v="London"/>
    <x v="0"/>
    <s v="Keyboard"/>
    <n v="14"/>
    <n v="1471.49"/>
    <n v="0.2"/>
    <n v="901.89"/>
    <x v="2"/>
    <x v="1"/>
    <s v="Sale"/>
    <s v="Check"/>
    <n v="16480.688000000002"/>
    <n v="12626.46"/>
    <n v="3854.2280000000028"/>
    <n v="0.23386329502748929"/>
  </r>
  <r>
    <s v="ORD1071"/>
    <d v="2024-11-24T00:00:00"/>
    <n v="11"/>
    <x v="18"/>
    <x v="1"/>
    <x v="18"/>
    <x v="50"/>
    <s v="Susan Welch"/>
    <s v="Susan"/>
    <s v="Welch"/>
    <x v="4"/>
    <s v="London"/>
    <x v="0"/>
    <s v="Monitor"/>
    <n v="1"/>
    <n v="369.14"/>
    <n v="0"/>
    <n v="565.45000000000005"/>
    <x v="1"/>
    <x v="0"/>
    <s v="Sale"/>
    <s v="OK"/>
    <n v="369.14"/>
    <n v="565.45000000000005"/>
    <n v="-196.31000000000006"/>
    <n v="-0.53180365173105071"/>
  </r>
  <r>
    <s v="ORD1072"/>
    <d v="2024-05-21T00:00:00"/>
    <n v="5"/>
    <x v="14"/>
    <x v="1"/>
    <x v="14"/>
    <x v="51"/>
    <s v="Xavier Khan"/>
    <s v="Xavier"/>
    <s v="Khan"/>
    <x v="4"/>
    <s v="Leeds"/>
    <x v="1"/>
    <s v="Paper"/>
    <n v="3"/>
    <n v="1198.78"/>
    <n v="0.05"/>
    <n v="866.71"/>
    <x v="1"/>
    <x v="0"/>
    <s v="Sale"/>
    <s v="OK"/>
    <n v="3416.5230000000001"/>
    <n v="2600.13"/>
    <n v="816.39300000000003"/>
    <n v="0.23895434042153382"/>
  </r>
  <r>
    <s v="ORD1073"/>
    <d v="2024-01-27T00:00:00"/>
    <n v="1"/>
    <x v="11"/>
    <x v="1"/>
    <x v="11"/>
    <x v="33"/>
    <s v="Margaret Greene"/>
    <s v="Margaret"/>
    <s v="Greene"/>
    <x v="4"/>
    <s v="Leeds"/>
    <x v="0"/>
    <s v="Keyboard"/>
    <n v="7"/>
    <n v="1119.77"/>
    <n v="0.05"/>
    <n v="778.46"/>
    <x v="2"/>
    <x v="0"/>
    <s v="Sale"/>
    <s v="OK"/>
    <n v="7446.4704999999994"/>
    <n v="5449.22"/>
    <n v="1997.2504999999992"/>
    <n v="0.26821438425090105"/>
  </r>
  <r>
    <s v="ORD1074"/>
    <d v="2025-05-08T00:00:00"/>
    <n v="5"/>
    <x v="12"/>
    <x v="0"/>
    <x v="12"/>
    <x v="11"/>
    <s v="Brian Johnson"/>
    <s v="Brian"/>
    <s v="Johnson"/>
    <x v="5"/>
    <s v="Leeds"/>
    <x v="2"/>
    <s v="Cabinet"/>
    <n v="8"/>
    <n v="642.28"/>
    <n v="0.1"/>
    <n v="712.98"/>
    <x v="0"/>
    <x v="0"/>
    <s v="Sale"/>
    <s v="OK"/>
    <n v="4624.4160000000002"/>
    <n v="5703.84"/>
    <n v="-1079.424"/>
    <n v="-0.23341844678333437"/>
  </r>
  <r>
    <s v="ORD1075"/>
    <d v="2024-11-15T00:00:00"/>
    <n v="11"/>
    <x v="18"/>
    <x v="1"/>
    <x v="18"/>
    <x v="18"/>
    <s v="Austin Gregory"/>
    <s v="Austin"/>
    <s v="Gregory"/>
    <x v="0"/>
    <s v="Bristol"/>
    <x v="0"/>
    <s v="Keyboard"/>
    <n v="6"/>
    <n v="898.1"/>
    <n v="0.1"/>
    <n v="506.54"/>
    <x v="0"/>
    <x v="1"/>
    <s v="Sale"/>
    <s v="Check"/>
    <n v="4849.7400000000007"/>
    <n v="3039.2400000000002"/>
    <n v="1810.5000000000005"/>
    <n v="0.37331898204852221"/>
  </r>
  <r>
    <s v="ORD1076"/>
    <d v="2024-07-30T00:00:00"/>
    <n v="7"/>
    <x v="1"/>
    <x v="1"/>
    <x v="1"/>
    <x v="52"/>
    <s v="Barbara Gomez"/>
    <s v="Barbara"/>
    <s v="Gomez"/>
    <x v="0"/>
    <s v="Norwich"/>
    <x v="2"/>
    <s v="Desk"/>
    <n v="7"/>
    <n v="472.26"/>
    <n v="0.05"/>
    <n v="256.38"/>
    <x v="2"/>
    <x v="0"/>
    <s v="Sale"/>
    <s v="OK"/>
    <n v="3140.5289999999995"/>
    <n v="1794.6599999999999"/>
    <n v="1345.8689999999997"/>
    <n v="0.42854850249750914"/>
  </r>
  <r>
    <s v="ORD1077"/>
    <d v="2025-01-16T00:00:00"/>
    <n v="1"/>
    <x v="0"/>
    <x v="0"/>
    <x v="0"/>
    <x v="49"/>
    <s v="Michelle Rodriguez"/>
    <s v="Michelle"/>
    <s v="Rodriguez"/>
    <x v="3"/>
    <s v="Bristol"/>
    <x v="2"/>
    <s v="Desk"/>
    <n v="9"/>
    <n v="1435.15"/>
    <n v="0.1"/>
    <n v="670.67"/>
    <x v="2"/>
    <x v="0"/>
    <s v="Sale"/>
    <s v="OK"/>
    <n v="11624.715"/>
    <n v="6036.03"/>
    <n v="5588.6850000000004"/>
    <n v="0.48075888312100556"/>
  </r>
  <r>
    <s v="ORD1078"/>
    <d v="2024-06-29T00:00:00"/>
    <n v="6"/>
    <x v="7"/>
    <x v="1"/>
    <x v="7"/>
    <x v="53"/>
    <s v="Ashley Porter"/>
    <s v="Ashley"/>
    <s v="Porter"/>
    <x v="1"/>
    <s v="Leeds"/>
    <x v="1"/>
    <s v="Pen"/>
    <n v="9"/>
    <n v="986.82"/>
    <n v="0.05"/>
    <n v="110"/>
    <x v="0"/>
    <x v="1"/>
    <s v="Sale"/>
    <s v="Check"/>
    <n v="8437.3109999999997"/>
    <n v="990"/>
    <n v="7447.3109999999997"/>
    <n v="0.8826640383411255"/>
  </r>
  <r>
    <s v="ORD1079"/>
    <d v="2024-10-11T00:00:00"/>
    <n v="10"/>
    <x v="10"/>
    <x v="1"/>
    <x v="10"/>
    <x v="50"/>
    <s v="Ashley Jones"/>
    <s v="Ashley"/>
    <s v="Jones"/>
    <x v="5"/>
    <s v="Manchester"/>
    <x v="1"/>
    <s v="Stapler"/>
    <n v="10"/>
    <n v="1245.04"/>
    <n v="0.2"/>
    <n v="182.06"/>
    <x v="2"/>
    <x v="0"/>
    <s v="Sale"/>
    <s v="OK"/>
    <n v="9960.32"/>
    <n v="1820.6"/>
    <n v="8139.7199999999993"/>
    <n v="0.81721470796119"/>
  </r>
  <r>
    <s v="ORD1080"/>
    <d v="2024-02-05T00:00:00"/>
    <n v="2"/>
    <x v="3"/>
    <x v="1"/>
    <x v="3"/>
    <x v="13"/>
    <s v="Cassie Chang"/>
    <s v="Cassie"/>
    <s v="Chang"/>
    <x v="1"/>
    <s v="Bristol"/>
    <x v="0"/>
    <s v="Mouse"/>
    <n v="11"/>
    <n v="142.18"/>
    <n v="0.1"/>
    <n v="377.44"/>
    <x v="1"/>
    <x v="0"/>
    <s v="Sale"/>
    <s v="OK"/>
    <n v="1407.5820000000001"/>
    <n v="4151.84"/>
    <n v="-2744.2579999999998"/>
    <n v="-1.9496256701208168"/>
  </r>
  <r>
    <s v="ORD1081"/>
    <d v="2024-03-21T00:00:00"/>
    <n v="3"/>
    <x v="9"/>
    <x v="1"/>
    <x v="9"/>
    <x v="54"/>
    <s v="Patrick Marks"/>
    <s v="Patrick"/>
    <s v="Marks"/>
    <x v="0"/>
    <s v="Manchester"/>
    <x v="0"/>
    <s v="Monitor"/>
    <n v="2"/>
    <n v="994.6"/>
    <n v="0.1"/>
    <n v="443.16"/>
    <x v="3"/>
    <x v="0"/>
    <s v="Sale"/>
    <s v="OK"/>
    <n v="1790.28"/>
    <n v="886.32"/>
    <n v="903.95999999999992"/>
    <n v="0.50492660365976272"/>
  </r>
  <r>
    <s v="ORD1082"/>
    <d v="2024-09-26T00:00:00"/>
    <n v="9"/>
    <x v="6"/>
    <x v="1"/>
    <x v="6"/>
    <x v="50"/>
    <s v="Renee Marshall"/>
    <s v="Renee"/>
    <s v="Marshall"/>
    <x v="5"/>
    <s v="Norwich"/>
    <x v="0"/>
    <s v="Mouse"/>
    <n v="7"/>
    <n v="86.9"/>
    <n v="0.05"/>
    <n v="945.43"/>
    <x v="2"/>
    <x v="1"/>
    <s v="Sale"/>
    <s v="Check"/>
    <n v="577.88499999999999"/>
    <n v="6618.0099999999993"/>
    <n v="-6040.1249999999991"/>
    <n v="-10.452122827206104"/>
  </r>
  <r>
    <s v="ORD1083"/>
    <d v="2024-07-03T00:00:00"/>
    <n v="7"/>
    <x v="1"/>
    <x v="1"/>
    <x v="1"/>
    <x v="47"/>
    <s v="Christopher Johnson"/>
    <s v="Christopher"/>
    <s v="Johnson"/>
    <x v="2"/>
    <s v="Norwich"/>
    <x v="2"/>
    <s v="Desk"/>
    <n v="9"/>
    <n v="1003.73"/>
    <n v="0.2"/>
    <n v="398.28"/>
    <x v="1"/>
    <x v="1"/>
    <s v="Sale"/>
    <s v="Check"/>
    <n v="7226.8559999999998"/>
    <n v="3584.5199999999995"/>
    <n v="3642.3360000000002"/>
    <n v="0.50400007970270899"/>
  </r>
  <r>
    <s v="ORD1084"/>
    <d v="2024-12-29T00:00:00"/>
    <n v="12"/>
    <x v="2"/>
    <x v="1"/>
    <x v="2"/>
    <x v="55"/>
    <s v="Phyllis Porter"/>
    <s v="Phyllis"/>
    <s v="Porter"/>
    <x v="0"/>
    <s v="London"/>
    <x v="1"/>
    <s v="Pen"/>
    <n v="-7"/>
    <n v="490.53"/>
    <n v="0.2"/>
    <n v="618.89"/>
    <x v="3"/>
    <x v="1"/>
    <s v="Return"/>
    <s v="OK"/>
    <n v="-2746.9680000000003"/>
    <n v="-4332.2299999999996"/>
    <n v="1585.2619999999993"/>
    <n v="-0.57709518276150251"/>
  </r>
  <r>
    <s v="ORD1085"/>
    <d v="2024-07-21T00:00:00"/>
    <n v="7"/>
    <x v="1"/>
    <x v="1"/>
    <x v="1"/>
    <x v="35"/>
    <s v="Erica Gibson"/>
    <s v="Erica"/>
    <s v="Gibson"/>
    <x v="5"/>
    <s v="Manchester"/>
    <x v="1"/>
    <s v="Paper"/>
    <n v="4"/>
    <n v="256.36"/>
    <n v="0.05"/>
    <n v="115.8"/>
    <x v="0"/>
    <x v="0"/>
    <s v="Sale"/>
    <s v="OK"/>
    <n v="974.16800000000001"/>
    <n v="463.2"/>
    <n v="510.96800000000002"/>
    <n v="0.52451733171280523"/>
  </r>
  <r>
    <s v="ORD1086"/>
    <d v="2024-05-11T00:00:00"/>
    <n v="5"/>
    <x v="14"/>
    <x v="1"/>
    <x v="14"/>
    <x v="41"/>
    <s v="Carol Moreno"/>
    <s v="Carol"/>
    <s v="Moreno"/>
    <x v="2"/>
    <s v="Bristol"/>
    <x v="0"/>
    <s v="Monitor"/>
    <n v="10"/>
    <n v="1139.93"/>
    <n v="0.2"/>
    <n v="951.39"/>
    <x v="1"/>
    <x v="0"/>
    <s v="Sale"/>
    <s v="OK"/>
    <n v="9119.44"/>
    <n v="9513.9"/>
    <n v="-394.45999999999913"/>
    <n v="-4.3254848981954933E-2"/>
  </r>
  <r>
    <s v="ORD1087"/>
    <d v="2024-04-02T00:00:00"/>
    <n v="4"/>
    <x v="13"/>
    <x v="1"/>
    <x v="13"/>
    <x v="23"/>
    <s v="Leslie Benson"/>
    <s v="Leslie"/>
    <s v="Benson"/>
    <x v="1"/>
    <s v="Norwich"/>
    <x v="0"/>
    <s v="Mouse"/>
    <n v="13"/>
    <n v="88.98"/>
    <n v="0.1"/>
    <n v="311.79000000000002"/>
    <x v="2"/>
    <x v="1"/>
    <s v="Sale"/>
    <s v="Check"/>
    <n v="1041.066"/>
    <n v="4053.2700000000004"/>
    <n v="-3012.2040000000006"/>
    <n v="-2.8933842811118611"/>
  </r>
  <r>
    <s v="ORD1088"/>
    <d v="2024-10-10T00:00:00"/>
    <n v="10"/>
    <x v="10"/>
    <x v="1"/>
    <x v="10"/>
    <x v="8"/>
    <s v="Jay Sanford"/>
    <s v="Jay"/>
    <s v="Sanford"/>
    <x v="3"/>
    <s v="Birmingham"/>
    <x v="2"/>
    <s v="Cabinet"/>
    <n v="1"/>
    <n v="1215.67"/>
    <n v="0.1"/>
    <n v="322.88"/>
    <x v="2"/>
    <x v="0"/>
    <s v="Sale"/>
    <s v="OK"/>
    <n v="1094.1030000000001"/>
    <n v="322.88"/>
    <n v="771.22300000000007"/>
    <n v="0.70489067299879449"/>
  </r>
  <r>
    <s v="ORD1089"/>
    <d v="2024-01-21T00:00:00"/>
    <n v="1"/>
    <x v="11"/>
    <x v="1"/>
    <x v="11"/>
    <x v="56"/>
    <s v="Deanna Hernandez"/>
    <s v="Deanna"/>
    <s v="Hernandez"/>
    <x v="5"/>
    <s v="Bristol"/>
    <x v="0"/>
    <s v="Monitor"/>
    <n v="8"/>
    <n v="788.48"/>
    <n v="0.1"/>
    <n v="365.17"/>
    <x v="2"/>
    <x v="0"/>
    <s v="Sale"/>
    <s v="OK"/>
    <n v="5677.0560000000005"/>
    <n v="2921.36"/>
    <n v="2755.6960000000004"/>
    <n v="0.48540933892496396"/>
  </r>
  <r>
    <s v="ORD1090"/>
    <d v="2024-02-18T00:00:00"/>
    <n v="2"/>
    <x v="3"/>
    <x v="1"/>
    <x v="3"/>
    <x v="57"/>
    <s v="Christopher Salinas"/>
    <s v="Christopher"/>
    <s v="Salinas"/>
    <x v="2"/>
    <s v="Manchester"/>
    <x v="0"/>
    <s v="Keyboard"/>
    <n v="5"/>
    <n v="986.56"/>
    <n v="0.1"/>
    <n v="873.53"/>
    <x v="1"/>
    <x v="1"/>
    <s v="Sale"/>
    <s v="Check"/>
    <n v="4439.5199999999995"/>
    <n v="4367.6499999999996"/>
    <n v="71.869999999999891"/>
    <n v="1.6188687065268294E-2"/>
  </r>
  <r>
    <s v="ORD1091"/>
    <d v="2024-07-06T00:00:00"/>
    <n v="7"/>
    <x v="1"/>
    <x v="1"/>
    <x v="1"/>
    <x v="58"/>
    <s v="Ryan Acevedo"/>
    <s v="Ryan"/>
    <s v="Acevedo"/>
    <x v="3"/>
    <s v="Leeds"/>
    <x v="0"/>
    <s v="Laptop"/>
    <n v="6"/>
    <n v="1006.82"/>
    <n v="0.2"/>
    <n v="739.3"/>
    <x v="1"/>
    <x v="0"/>
    <s v="Sale"/>
    <s v="OK"/>
    <n v="4832.7359999999999"/>
    <n v="4435.7999999999993"/>
    <n v="396.9360000000006"/>
    <n v="8.213484038855022E-2"/>
  </r>
  <r>
    <s v="ORD1092"/>
    <d v="2024-04-02T00:00:00"/>
    <n v="4"/>
    <x v="13"/>
    <x v="1"/>
    <x v="13"/>
    <x v="8"/>
    <s v="Richard Bailey"/>
    <s v="Richard"/>
    <s v="Bailey"/>
    <x v="3"/>
    <s v="Bristol"/>
    <x v="0"/>
    <s v="Keyboard"/>
    <n v="13"/>
    <n v="343.68"/>
    <n v="0"/>
    <n v="79.010000000000005"/>
    <x v="1"/>
    <x v="0"/>
    <s v="Sale"/>
    <s v="OK"/>
    <n v="4467.84"/>
    <n v="1027.1300000000001"/>
    <n v="3440.71"/>
    <n v="0.77010591247672255"/>
  </r>
  <r>
    <s v="ORD1093"/>
    <d v="2024-03-19T00:00:00"/>
    <n v="3"/>
    <x v="9"/>
    <x v="1"/>
    <x v="9"/>
    <x v="38"/>
    <s v="Laura Salazar"/>
    <s v="Laura"/>
    <s v="Salazar"/>
    <x v="4"/>
    <s v="Birmingham"/>
    <x v="1"/>
    <s v="Pen"/>
    <n v="14"/>
    <n v="938.99"/>
    <n v="0"/>
    <n v="721.74"/>
    <x v="1"/>
    <x v="1"/>
    <s v="Sale"/>
    <s v="Check"/>
    <n v="13145.86"/>
    <n v="10104.36"/>
    <n v="3041.5"/>
    <n v="0.23136561624724436"/>
  </r>
  <r>
    <s v="ORD1094"/>
    <d v="2024-07-06T00:00:00"/>
    <n v="7"/>
    <x v="1"/>
    <x v="1"/>
    <x v="1"/>
    <x v="7"/>
    <s v="Preston Wilson"/>
    <s v="Preston"/>
    <s v="Wilson"/>
    <x v="3"/>
    <s v="Leeds"/>
    <x v="0"/>
    <s v="Monitor"/>
    <n v="15"/>
    <n v="554.91999999999996"/>
    <n v="0.1"/>
    <n v="984.47"/>
    <x v="3"/>
    <x v="0"/>
    <s v="Sale"/>
    <s v="OK"/>
    <n v="7491.4199999999992"/>
    <n v="14767.050000000001"/>
    <n v="-7275.6300000000019"/>
    <n v="-0.97119504713392157"/>
  </r>
  <r>
    <s v="ORD1095"/>
    <d v="2025-03-22T00:00:00"/>
    <n v="3"/>
    <x v="5"/>
    <x v="0"/>
    <x v="5"/>
    <x v="59"/>
    <s v="Zachary Mcdonald"/>
    <s v="Zachary"/>
    <s v="Mcdonald"/>
    <x v="2"/>
    <s v="Manchester"/>
    <x v="0"/>
    <s v="Monitor"/>
    <n v="11"/>
    <n v="559.96"/>
    <n v="0.05"/>
    <n v="711.98"/>
    <x v="3"/>
    <x v="0"/>
    <s v="Sale"/>
    <s v="OK"/>
    <n v="5851.5820000000003"/>
    <n v="7831.7800000000007"/>
    <n v="-1980.1980000000003"/>
    <n v="-0.33840387095318841"/>
  </r>
  <r>
    <s v="ORD1096"/>
    <d v="2025-04-29T00:00:00"/>
    <n v="4"/>
    <x v="8"/>
    <x v="0"/>
    <x v="8"/>
    <x v="56"/>
    <s v="Yesenia Mitchell"/>
    <s v="Yesenia"/>
    <s v="Mitchell"/>
    <x v="5"/>
    <s v="London"/>
    <x v="2"/>
    <s v="Desk"/>
    <n v="15"/>
    <n v="44.87"/>
    <n v="0.05"/>
    <n v="503"/>
    <x v="2"/>
    <x v="0"/>
    <s v="Sale"/>
    <s v="OK"/>
    <n v="639.39749999999992"/>
    <n v="7545"/>
    <n v="-6905.6025"/>
    <n v="-10.8001712549705"/>
  </r>
  <r>
    <s v="ORD1097"/>
    <d v="2025-02-09T00:00:00"/>
    <n v="2"/>
    <x v="15"/>
    <x v="0"/>
    <x v="15"/>
    <x v="12"/>
    <s v="Ian Miller"/>
    <s v="Ian"/>
    <s v="Miller"/>
    <x v="3"/>
    <s v="Norwich"/>
    <x v="0"/>
    <s v="Keyboard"/>
    <n v="1"/>
    <n v="1245.49"/>
    <n v="0.2"/>
    <n v="140.52000000000001"/>
    <x v="2"/>
    <x v="0"/>
    <s v="Sale"/>
    <s v="OK"/>
    <n v="996.39200000000005"/>
    <n v="140.52000000000001"/>
    <n v="855.87200000000007"/>
    <n v="0.85897116797405038"/>
  </r>
  <r>
    <s v="ORD1098"/>
    <d v="2024-07-10T00:00:00"/>
    <n v="7"/>
    <x v="1"/>
    <x v="1"/>
    <x v="1"/>
    <x v="3"/>
    <s v="Jonathan Ross"/>
    <s v="Jonathan"/>
    <s v="Ross"/>
    <x v="2"/>
    <s v="Norwich"/>
    <x v="0"/>
    <s v="Monitor"/>
    <n v="7"/>
    <n v="435.71"/>
    <n v="0.1"/>
    <n v="49.65"/>
    <x v="2"/>
    <x v="1"/>
    <s v="Sale"/>
    <s v="Check"/>
    <n v="2744.973"/>
    <n v="347.55"/>
    <n v="2397.4229999999998"/>
    <n v="0.87338673276567735"/>
  </r>
  <r>
    <s v="ORD1099"/>
    <d v="2024-09-01T00:00:00"/>
    <n v="9"/>
    <x v="6"/>
    <x v="1"/>
    <x v="6"/>
    <x v="60"/>
    <s v="Cameron Faulkner"/>
    <s v="Cameron"/>
    <s v="Faulkner"/>
    <x v="0"/>
    <s v="Leeds"/>
    <x v="1"/>
    <s v="Stapler"/>
    <n v="12"/>
    <n v="646.71"/>
    <n v="0.1"/>
    <n v="242.08"/>
    <x v="1"/>
    <x v="0"/>
    <s v="Sale"/>
    <s v="OK"/>
    <n v="6984.4680000000008"/>
    <n v="2904.96"/>
    <n v="4079.5080000000007"/>
    <n v="0.58408285355448697"/>
  </r>
  <r>
    <s v="ORD1100"/>
    <d v="2024-09-16T00:00:00"/>
    <n v="9"/>
    <x v="6"/>
    <x v="1"/>
    <x v="6"/>
    <x v="0"/>
    <s v="Luis Young"/>
    <s v="Luis"/>
    <s v="Young"/>
    <x v="0"/>
    <s v="Manchester"/>
    <x v="1"/>
    <s v="Stapler"/>
    <n v="1"/>
    <n v="707.85"/>
    <n v="0.1"/>
    <n v="981.08"/>
    <x v="0"/>
    <x v="0"/>
    <s v="Sale"/>
    <s v="OK"/>
    <n v="637.06500000000005"/>
    <n v="981.08"/>
    <n v="-344.01499999999999"/>
    <n v="-0.53999984303014603"/>
  </r>
  <r>
    <s v="ORD1101"/>
    <d v="2025-01-22T00:00:00"/>
    <n v="1"/>
    <x v="0"/>
    <x v="0"/>
    <x v="0"/>
    <x v="61"/>
    <s v="Julie Jensen"/>
    <s v="Julie"/>
    <s v="Jensen"/>
    <x v="2"/>
    <s v="Norwich"/>
    <x v="1"/>
    <s v="Stapler"/>
    <n v="9"/>
    <n v="965.98"/>
    <n v="0.2"/>
    <n v="685.31"/>
    <x v="3"/>
    <x v="0"/>
    <s v="Sale"/>
    <s v="OK"/>
    <n v="6955.0560000000005"/>
    <n v="6167.7899999999991"/>
    <n v="787.26600000000144"/>
    <n v="0.11319333733617692"/>
  </r>
  <r>
    <s v="ORD1102"/>
    <d v="2024-01-23T00:00:00"/>
    <n v="1"/>
    <x v="11"/>
    <x v="1"/>
    <x v="11"/>
    <x v="23"/>
    <s v="Jaime Cook"/>
    <s v="Jaime"/>
    <s v="Cook"/>
    <x v="4"/>
    <s v="Manchester"/>
    <x v="0"/>
    <s v="Monitor"/>
    <n v="6"/>
    <n v="775.5"/>
    <n v="0.1"/>
    <n v="543.94000000000005"/>
    <x v="1"/>
    <x v="0"/>
    <s v="Sale"/>
    <s v="OK"/>
    <n v="4187.7"/>
    <n v="3263.6400000000003"/>
    <n v="924.05999999999949"/>
    <n v="0.22066050576688864"/>
  </r>
  <r>
    <s v="ORD1103"/>
    <d v="2024-03-04T00:00:00"/>
    <n v="3"/>
    <x v="9"/>
    <x v="1"/>
    <x v="9"/>
    <x v="62"/>
    <s v="John Hamilton"/>
    <s v="John"/>
    <s v="Hamilton"/>
    <x v="1"/>
    <s v="Norwich"/>
    <x v="0"/>
    <s v="Keyboard"/>
    <n v="7"/>
    <n v="1342.48"/>
    <n v="0.1"/>
    <n v="973.78"/>
    <x v="3"/>
    <x v="0"/>
    <s v="Sale"/>
    <s v="OK"/>
    <n v="8457.6240000000016"/>
    <n v="6816.46"/>
    <n v="1641.1640000000016"/>
    <n v="0.19404551443762472"/>
  </r>
  <r>
    <s v="ORD1104"/>
    <d v="2025-02-25T00:00:00"/>
    <n v="2"/>
    <x v="15"/>
    <x v="0"/>
    <x v="15"/>
    <x v="63"/>
    <s v="Bob Bowman"/>
    <s v="Bob"/>
    <s v="Bowman"/>
    <x v="2"/>
    <s v="Manchester"/>
    <x v="2"/>
    <s v="Cabinet"/>
    <n v="5"/>
    <n v="124.7"/>
    <n v="0.05"/>
    <n v="307.88"/>
    <x v="3"/>
    <x v="0"/>
    <s v="Sale"/>
    <s v="OK"/>
    <n v="592.32499999999993"/>
    <n v="1539.4"/>
    <n v="-947.07500000000016"/>
    <n v="-1.5989110707803997"/>
  </r>
  <r>
    <s v="ORD1105"/>
    <d v="2024-05-20T00:00:00"/>
    <n v="5"/>
    <x v="14"/>
    <x v="1"/>
    <x v="14"/>
    <x v="6"/>
    <s v="Christopher Johnson"/>
    <s v="Christopher"/>
    <s v="Johnson"/>
    <x v="2"/>
    <s v="Leeds"/>
    <x v="0"/>
    <s v="Mouse"/>
    <n v="1"/>
    <n v="958.08"/>
    <n v="0.2"/>
    <n v="801.49"/>
    <x v="3"/>
    <x v="0"/>
    <s v="Sale"/>
    <s v="OK"/>
    <n v="766.46400000000006"/>
    <n v="801.49"/>
    <n v="-35.025999999999954"/>
    <n v="-4.5698167167668606E-2"/>
  </r>
  <r>
    <s v="ORD1106"/>
    <d v="2024-04-30T00:00:00"/>
    <n v="4"/>
    <x v="13"/>
    <x v="1"/>
    <x v="13"/>
    <x v="53"/>
    <s v="Steven Allen"/>
    <s v="Steven"/>
    <s v="Allen"/>
    <x v="0"/>
    <s v="Leeds"/>
    <x v="0"/>
    <s v="Laptop"/>
    <n v="7"/>
    <n v="53.42"/>
    <n v="0.1"/>
    <n v="451.02"/>
    <x v="0"/>
    <x v="0"/>
    <s v="Sale"/>
    <s v="OK"/>
    <n v="336.54599999999999"/>
    <n v="3157.14"/>
    <n v="-2820.5940000000001"/>
    <n v="-8.3810058654686141"/>
  </r>
  <r>
    <s v="ORD1107"/>
    <d v="2024-11-28T00:00:00"/>
    <n v="11"/>
    <x v="18"/>
    <x v="1"/>
    <x v="18"/>
    <x v="46"/>
    <s v="Bonnie Goodwin"/>
    <s v="Bonnie"/>
    <s v="Goodwin"/>
    <x v="2"/>
    <s v="London"/>
    <x v="2"/>
    <s v="Chair"/>
    <n v="-2"/>
    <n v="283.14"/>
    <n v="0"/>
    <n v="913.72"/>
    <x v="1"/>
    <x v="1"/>
    <s v="Return"/>
    <s v="OK"/>
    <n v="-566.28"/>
    <n v="-1827.44"/>
    <n v="1261.1600000000001"/>
    <n v="-2.2270961361870456"/>
  </r>
  <r>
    <s v="ORD1108"/>
    <d v="2024-03-10T00:00:00"/>
    <n v="3"/>
    <x v="9"/>
    <x v="1"/>
    <x v="9"/>
    <x v="64"/>
    <s v="Abigail Blankenship"/>
    <s v="Abigail"/>
    <s v="Blankenship"/>
    <x v="0"/>
    <s v="Leeds"/>
    <x v="0"/>
    <s v="Laptop"/>
    <n v="15"/>
    <n v="1495.91"/>
    <n v="0.1"/>
    <n v="967.63"/>
    <x v="1"/>
    <x v="0"/>
    <s v="Sale"/>
    <s v="OK"/>
    <n v="20194.785000000003"/>
    <n v="14514.45"/>
    <n v="5680.3350000000028"/>
    <n v="0.28127731986252896"/>
  </r>
  <r>
    <s v="ORD1109"/>
    <d v="2025-02-10T00:00:00"/>
    <n v="2"/>
    <x v="15"/>
    <x v="0"/>
    <x v="15"/>
    <x v="53"/>
    <s v="Tina Lewis"/>
    <s v="Tina"/>
    <s v="Lewis"/>
    <x v="2"/>
    <s v="Leeds"/>
    <x v="0"/>
    <s v="Monitor"/>
    <n v="4"/>
    <n v="358.92"/>
    <n v="0.05"/>
    <n v="362.17"/>
    <x v="2"/>
    <x v="0"/>
    <s v="Sale"/>
    <s v="OK"/>
    <n v="1363.896"/>
    <n v="1448.68"/>
    <n v="-84.784000000000106"/>
    <n v="-6.2163097479573305E-2"/>
  </r>
  <r>
    <s v="ORD1110"/>
    <d v="2025-02-01T00:00:00"/>
    <n v="2"/>
    <x v="15"/>
    <x v="0"/>
    <x v="15"/>
    <x v="65"/>
    <s v="Victoria Palmer"/>
    <s v="Victoria"/>
    <s v="Palmer"/>
    <x v="5"/>
    <s v="London"/>
    <x v="0"/>
    <s v="Mouse"/>
    <n v="13"/>
    <n v="864.48"/>
    <n v="0"/>
    <n v="318.39"/>
    <x v="0"/>
    <x v="0"/>
    <s v="Sale"/>
    <s v="OK"/>
    <n v="11238.24"/>
    <n v="4139.07"/>
    <n v="7099.17"/>
    <n v="0.63169766796224325"/>
  </r>
  <r>
    <s v="ORD1111"/>
    <d v="2025-11-04T00:00:00"/>
    <n v="11"/>
    <x v="17"/>
    <x v="0"/>
    <x v="17"/>
    <x v="66"/>
    <s v="Todd Torres"/>
    <s v="Todd"/>
    <s v="Torres"/>
    <x v="0"/>
    <s v="Manchester"/>
    <x v="2"/>
    <s v="Cabinet"/>
    <n v="9"/>
    <n v="251.16"/>
    <n v="0.1"/>
    <n v="709.91"/>
    <x v="0"/>
    <x v="0"/>
    <s v="Sale"/>
    <s v="OK"/>
    <n v="2034.3960000000002"/>
    <n v="6389.19"/>
    <n v="-4354.7939999999999"/>
    <n v="-2.140583249278901"/>
  </r>
  <r>
    <s v="ORD1112"/>
    <d v="2024-10-11T00:00:00"/>
    <n v="10"/>
    <x v="10"/>
    <x v="1"/>
    <x v="10"/>
    <x v="13"/>
    <s v="Michael Hart"/>
    <s v="Michael"/>
    <s v="Hart"/>
    <x v="3"/>
    <s v="Norwich"/>
    <x v="0"/>
    <s v="Keyboard"/>
    <n v="3"/>
    <n v="873.07"/>
    <n v="0.05"/>
    <n v="625.23"/>
    <x v="2"/>
    <x v="0"/>
    <s v="Sale"/>
    <s v="OK"/>
    <n v="2488.2494999999999"/>
    <n v="1875.69"/>
    <n v="612.55949999999984"/>
    <n v="0.24618089946365904"/>
  </r>
  <r>
    <s v="ORD1113"/>
    <d v="2024-11-29T00:00:00"/>
    <n v="11"/>
    <x v="18"/>
    <x v="1"/>
    <x v="18"/>
    <x v="67"/>
    <s v="Christopher Howard"/>
    <s v="Christopher"/>
    <s v="Howard"/>
    <x v="2"/>
    <s v="London"/>
    <x v="1"/>
    <s v="Pen"/>
    <n v="10"/>
    <n v="960.29"/>
    <n v="0.1"/>
    <n v="627.91"/>
    <x v="3"/>
    <x v="0"/>
    <s v="Sale"/>
    <s v="OK"/>
    <n v="8642.61"/>
    <n v="6279.0999999999995"/>
    <n v="2363.5100000000011"/>
    <n v="0.27347178687919516"/>
  </r>
  <r>
    <s v="ORD1114"/>
    <d v="2024-12-18T00:00:00"/>
    <n v="12"/>
    <x v="2"/>
    <x v="1"/>
    <x v="2"/>
    <x v="17"/>
    <s v="Cesar Savage"/>
    <s v="Cesar"/>
    <s v="Savage"/>
    <x v="5"/>
    <s v="Birmingham"/>
    <x v="2"/>
    <s v="Desk"/>
    <n v="8"/>
    <n v="699.34"/>
    <n v="0.2"/>
    <n v="145.38"/>
    <x v="0"/>
    <x v="0"/>
    <s v="Sale"/>
    <s v="OK"/>
    <n v="4475.7760000000007"/>
    <n v="1163.04"/>
    <n v="3312.7360000000008"/>
    <n v="0.74014785369062264"/>
  </r>
  <r>
    <s v="ORD1115"/>
    <d v="2024-02-24T00:00:00"/>
    <n v="2"/>
    <x v="3"/>
    <x v="1"/>
    <x v="3"/>
    <x v="32"/>
    <s v="Dorothy Galloway"/>
    <s v="Dorothy"/>
    <s v="Galloway"/>
    <x v="2"/>
    <s v="Manchester"/>
    <x v="1"/>
    <s v="Stapler"/>
    <n v="5"/>
    <n v="215.61"/>
    <n v="0.05"/>
    <n v="945.49"/>
    <x v="1"/>
    <x v="0"/>
    <s v="Sale"/>
    <s v="OK"/>
    <n v="1024.1475"/>
    <n v="4727.45"/>
    <n v="-3703.3024999999998"/>
    <n v="-3.6159854903712598"/>
  </r>
  <r>
    <s v="ORD1116"/>
    <d v="2024-09-20T00:00:00"/>
    <n v="9"/>
    <x v="6"/>
    <x v="1"/>
    <x v="6"/>
    <x v="68"/>
    <s v="Justin Smith"/>
    <s v="Justin"/>
    <s v="Smith"/>
    <x v="3"/>
    <s v="Manchester"/>
    <x v="0"/>
    <s v="Mouse"/>
    <n v="-8"/>
    <n v="1418.12"/>
    <n v="0.05"/>
    <n v="966.75"/>
    <x v="3"/>
    <x v="1"/>
    <s v="Return"/>
    <s v="OK"/>
    <n v="-10777.712"/>
    <n v="-7734"/>
    <n v="-3043.7119999999995"/>
    <n v="0.28240799160341262"/>
  </r>
  <r>
    <s v="ORD1117"/>
    <d v="2025-03-09T00:00:00"/>
    <n v="3"/>
    <x v="5"/>
    <x v="0"/>
    <x v="5"/>
    <x v="14"/>
    <s v="Rachel Brown"/>
    <s v="Rachel"/>
    <s v="Brown"/>
    <x v="4"/>
    <s v="Manchester"/>
    <x v="0"/>
    <s v="Laptop"/>
    <n v="3"/>
    <n v="1092.6199999999999"/>
    <n v="0.1"/>
    <n v="367.21"/>
    <x v="1"/>
    <x v="0"/>
    <s v="Sale"/>
    <s v="OK"/>
    <n v="2950.0739999999996"/>
    <n v="1101.6299999999999"/>
    <n v="1848.4439999999997"/>
    <n v="0.62657546895433813"/>
  </r>
  <r>
    <s v="ORD1118"/>
    <d v="2024-08-18T00:00:00"/>
    <n v="8"/>
    <x v="4"/>
    <x v="1"/>
    <x v="4"/>
    <x v="69"/>
    <s v="Lisa Webb"/>
    <s v="Lisa"/>
    <s v="Webb"/>
    <x v="2"/>
    <s v="London"/>
    <x v="2"/>
    <s v="Cabinet"/>
    <n v="10"/>
    <n v="182.62"/>
    <n v="0.1"/>
    <n v="395.12"/>
    <x v="3"/>
    <x v="0"/>
    <s v="Sale"/>
    <s v="OK"/>
    <n v="1643.5800000000002"/>
    <n v="3951.2"/>
    <n v="-2307.62"/>
    <n v="-1.4040204918531496"/>
  </r>
  <r>
    <s v="ORD1119"/>
    <d v="2024-11-03T00:00:00"/>
    <n v="11"/>
    <x v="18"/>
    <x v="1"/>
    <x v="18"/>
    <x v="17"/>
    <s v="Jessica Alvarez"/>
    <s v="Jessica"/>
    <s v="Alvarez"/>
    <x v="1"/>
    <s v="Leeds"/>
    <x v="0"/>
    <s v="Laptop"/>
    <n v="9"/>
    <n v="911.36"/>
    <n v="0.05"/>
    <n v="329.31"/>
    <x v="1"/>
    <x v="1"/>
    <s v="Sale"/>
    <s v="Check"/>
    <n v="7792.1279999999997"/>
    <n v="2963.79"/>
    <n v="4828.3379999999997"/>
    <n v="0.61964305514488471"/>
  </r>
  <r>
    <s v="ORD1120"/>
    <d v="2024-08-31T00:00:00"/>
    <n v="8"/>
    <x v="4"/>
    <x v="1"/>
    <x v="4"/>
    <x v="0"/>
    <s v="Michelle Anderson"/>
    <s v="Michelle"/>
    <s v="Anderson"/>
    <x v="2"/>
    <s v="Manchester"/>
    <x v="1"/>
    <s v="Pen"/>
    <n v="11"/>
    <n v="627.73"/>
    <n v="0.2"/>
    <n v="898.97"/>
    <x v="0"/>
    <x v="0"/>
    <s v="Sale"/>
    <s v="OK"/>
    <n v="5524.0240000000013"/>
    <n v="9888.67"/>
    <n v="-4364.6459999999988"/>
    <n v="-0.79012075255284875"/>
  </r>
  <r>
    <s v="ORD1121"/>
    <d v="2024-03-28T00:00:00"/>
    <n v="3"/>
    <x v="9"/>
    <x v="1"/>
    <x v="9"/>
    <x v="70"/>
    <s v="Barbara Chapman"/>
    <s v="Barbara"/>
    <s v="Chapman"/>
    <x v="2"/>
    <s v="Manchester"/>
    <x v="1"/>
    <s v="Pen"/>
    <n v="13"/>
    <n v="225.92"/>
    <n v="0.2"/>
    <n v="33.51"/>
    <x v="3"/>
    <x v="0"/>
    <s v="Sale"/>
    <s v="OK"/>
    <n v="2349.5680000000002"/>
    <n v="435.63"/>
    <n v="1913.9380000000001"/>
    <n v="0.81459144830028329"/>
  </r>
  <r>
    <s v="ORD1122"/>
    <d v="2024-04-14T00:00:00"/>
    <n v="4"/>
    <x v="13"/>
    <x v="1"/>
    <x v="13"/>
    <x v="20"/>
    <s v="Sharon Adams"/>
    <s v="Sharon"/>
    <s v="Adams"/>
    <x v="2"/>
    <s v="Leeds"/>
    <x v="2"/>
    <s v="Cabinet"/>
    <n v="15"/>
    <n v="1273.32"/>
    <n v="0.05"/>
    <n v="706.36"/>
    <x v="3"/>
    <x v="0"/>
    <s v="Sale"/>
    <s v="OK"/>
    <n v="18144.809999999998"/>
    <n v="10595.4"/>
    <n v="7549.409999999998"/>
    <n v="0.41606442834066593"/>
  </r>
  <r>
    <s v="ORD1123"/>
    <d v="2025-12-04T00:00:00"/>
    <n v="12"/>
    <x v="19"/>
    <x v="0"/>
    <x v="19"/>
    <x v="61"/>
    <s v="Hayley Walker"/>
    <s v="Hayley"/>
    <s v="Walker"/>
    <x v="4"/>
    <s v="Manchester"/>
    <x v="0"/>
    <s v="Mouse"/>
    <n v="11"/>
    <n v="1082.78"/>
    <n v="0.05"/>
    <n v="693.93"/>
    <x v="1"/>
    <x v="0"/>
    <s v="Sale"/>
    <s v="OK"/>
    <n v="11315.050999999999"/>
    <n v="7633.23"/>
    <n v="3681.8209999999999"/>
    <n v="0.32539146310520384"/>
  </r>
  <r>
    <s v="ORD1124"/>
    <d v="2024-12-26T00:00:00"/>
    <n v="12"/>
    <x v="2"/>
    <x v="1"/>
    <x v="2"/>
    <x v="71"/>
    <s v="Alexa Vasquez"/>
    <s v="Alexa"/>
    <s v="Vasquez"/>
    <x v="3"/>
    <s v="Birmingham"/>
    <x v="0"/>
    <s v="Keyboard"/>
    <n v="12"/>
    <n v="722.31"/>
    <n v="0.2"/>
    <n v="934.62"/>
    <x v="1"/>
    <x v="0"/>
    <s v="Sale"/>
    <s v="OK"/>
    <n v="6934.1759999999995"/>
    <n v="11215.44"/>
    <n v="-4281.264000000001"/>
    <n v="-0.61741496033559018"/>
  </r>
  <r>
    <s v="ORD1125"/>
    <d v="2024-05-27T00:00:00"/>
    <n v="5"/>
    <x v="14"/>
    <x v="1"/>
    <x v="14"/>
    <x v="28"/>
    <s v="Joseph Hernandez"/>
    <s v="Joseph"/>
    <s v="Hernandez"/>
    <x v="1"/>
    <s v="London"/>
    <x v="0"/>
    <s v="Laptop"/>
    <n v="15"/>
    <n v="388.38"/>
    <n v="0.05"/>
    <n v="203.66"/>
    <x v="2"/>
    <x v="0"/>
    <s v="Sale"/>
    <s v="OK"/>
    <n v="5534.415"/>
    <n v="3054.9"/>
    <n v="2479.5149999999999"/>
    <n v="0.44801754114933556"/>
  </r>
  <r>
    <s v="ORD1126"/>
    <d v="2024-12-08T00:00:00"/>
    <n v="12"/>
    <x v="2"/>
    <x v="1"/>
    <x v="2"/>
    <x v="72"/>
    <s v="Michael Moore"/>
    <s v="Michael"/>
    <s v="Moore"/>
    <x v="2"/>
    <s v="Birmingham"/>
    <x v="0"/>
    <s v="Laptop"/>
    <n v="4"/>
    <n v="622.89"/>
    <n v="0.05"/>
    <n v="102.34"/>
    <x v="3"/>
    <x v="1"/>
    <s v="Sale"/>
    <s v="Check"/>
    <n v="2366.982"/>
    <n v="409.36"/>
    <n v="1957.6219999999998"/>
    <n v="0.827054029139216"/>
  </r>
  <r>
    <s v="ORD1127"/>
    <d v="2024-06-13T00:00:00"/>
    <n v="6"/>
    <x v="7"/>
    <x v="1"/>
    <x v="7"/>
    <x v="23"/>
    <s v="Tammy Chan"/>
    <s v="Tammy"/>
    <s v="Chan"/>
    <x v="2"/>
    <s v="Birmingham"/>
    <x v="0"/>
    <s v="Keyboard"/>
    <n v="1"/>
    <n v="138.74"/>
    <n v="0.2"/>
    <n v="536.08000000000004"/>
    <x v="0"/>
    <x v="0"/>
    <s v="Sale"/>
    <s v="OK"/>
    <n v="110.99200000000002"/>
    <n v="536.08000000000004"/>
    <n v="-425.08800000000002"/>
    <n v="-3.8298976502811009"/>
  </r>
  <r>
    <s v="ORD1128"/>
    <d v="2024-05-04T00:00:00"/>
    <n v="5"/>
    <x v="14"/>
    <x v="1"/>
    <x v="14"/>
    <x v="15"/>
    <s v="Sharon Adams"/>
    <s v="Sharon"/>
    <s v="Adams"/>
    <x v="2"/>
    <s v="London"/>
    <x v="2"/>
    <s v="Chair"/>
    <n v="15"/>
    <n v="61.01"/>
    <n v="0.1"/>
    <n v="603.58000000000004"/>
    <x v="3"/>
    <x v="0"/>
    <s v="Sale"/>
    <s v="OK"/>
    <n v="823.63499999999999"/>
    <n v="9053.7000000000007"/>
    <n v="-8230.0650000000005"/>
    <n v="-9.9923691926642277"/>
  </r>
  <r>
    <s v="ORD1129"/>
    <d v="2024-06-18T00:00:00"/>
    <n v="6"/>
    <x v="7"/>
    <x v="1"/>
    <x v="7"/>
    <x v="9"/>
    <s v="Lisa Kennedy"/>
    <s v="Lisa"/>
    <s v="Kennedy"/>
    <x v="4"/>
    <s v="London"/>
    <x v="0"/>
    <s v="Laptop"/>
    <n v="8"/>
    <n v="0"/>
    <n v="0.1"/>
    <n v="338.44"/>
    <x v="3"/>
    <x v="1"/>
    <s v="Sale"/>
    <s v="Check"/>
    <n v="0"/>
    <n v="2707.52"/>
    <n v="-2707.52"/>
    <s v=" "/>
  </r>
  <r>
    <s v="ORD1130"/>
    <d v="2024-02-14T00:00:00"/>
    <n v="2"/>
    <x v="3"/>
    <x v="1"/>
    <x v="3"/>
    <x v="10"/>
    <s v="Matthew Snyder"/>
    <s v="Matthew"/>
    <s v="Snyder"/>
    <x v="5"/>
    <s v="Manchester"/>
    <x v="1"/>
    <s v="Pen"/>
    <n v="3"/>
    <n v="0"/>
    <n v="0.1"/>
    <n v="384.81"/>
    <x v="2"/>
    <x v="0"/>
    <s v="Sale"/>
    <s v="OK"/>
    <n v="0"/>
    <n v="1154.43"/>
    <n v="-1154.43"/>
    <s v=" "/>
  </r>
  <r>
    <s v="ORD1131"/>
    <d v="2024-02-01T00:00:00"/>
    <n v="2"/>
    <x v="3"/>
    <x v="1"/>
    <x v="3"/>
    <x v="62"/>
    <s v="Justin Hutchinson"/>
    <s v="Justin"/>
    <s v="Hutchinson"/>
    <x v="1"/>
    <s v="Manchester"/>
    <x v="0"/>
    <s v="Monitor"/>
    <n v="3"/>
    <n v="756.27"/>
    <n v="0.1"/>
    <n v="704.15"/>
    <x v="0"/>
    <x v="0"/>
    <s v="Sale"/>
    <s v="OK"/>
    <n v="2041.9290000000001"/>
    <n v="2112.4499999999998"/>
    <n v="-70.520999999999731"/>
    <n v="-3.4536460376438032E-2"/>
  </r>
  <r>
    <s v="ORD1132"/>
    <d v="2024-03-19T00:00:00"/>
    <n v="3"/>
    <x v="9"/>
    <x v="1"/>
    <x v="9"/>
    <x v="54"/>
    <s v="Isaac Schroeder"/>
    <s v="Isaac"/>
    <s v="Schroeder"/>
    <x v="0"/>
    <s v="Leeds"/>
    <x v="0"/>
    <s v="Mouse"/>
    <n v="6"/>
    <n v="826.11"/>
    <n v="0.2"/>
    <n v="538.44000000000005"/>
    <x v="3"/>
    <x v="0"/>
    <s v="Sale"/>
    <s v="OK"/>
    <n v="3965.328"/>
    <n v="3230.6400000000003"/>
    <n v="734.68799999999965"/>
    <n v="0.18527798961397385"/>
  </r>
  <r>
    <s v="ORD1133"/>
    <d v="2024-01-02T00:00:00"/>
    <n v="1"/>
    <x v="11"/>
    <x v="1"/>
    <x v="11"/>
    <x v="52"/>
    <s v="Matthew Andrews"/>
    <s v="Matthew"/>
    <s v="Andrews"/>
    <x v="2"/>
    <s v="Norwich"/>
    <x v="0"/>
    <s v="Laptop"/>
    <n v="4"/>
    <n v="229.03"/>
    <n v="0"/>
    <n v="521.29999999999995"/>
    <x v="3"/>
    <x v="0"/>
    <s v="Sale"/>
    <s v="OK"/>
    <n v="916.12"/>
    <n v="2085.1999999999998"/>
    <n v="-1169.08"/>
    <n v="-1.2761210321791905"/>
  </r>
  <r>
    <s v="ORD1134"/>
    <d v="2024-09-19T00:00:00"/>
    <n v="9"/>
    <x v="6"/>
    <x v="1"/>
    <x v="6"/>
    <x v="73"/>
    <s v="Luke Mann"/>
    <s v="Luke"/>
    <s v="Mann"/>
    <x v="0"/>
    <s v="Norwich"/>
    <x v="2"/>
    <s v="Desk"/>
    <n v="9"/>
    <n v="1211.3399999999999"/>
    <n v="0"/>
    <n v="397.16"/>
    <x v="3"/>
    <x v="0"/>
    <s v="Sale"/>
    <s v="OK"/>
    <n v="10902.06"/>
    <n v="3574.44"/>
    <n v="7327.619999999999"/>
    <n v="0.67213168887347885"/>
  </r>
  <r>
    <s v="ORD1135"/>
    <d v="2025-04-23T00:00:00"/>
    <n v="4"/>
    <x v="8"/>
    <x v="0"/>
    <x v="8"/>
    <x v="67"/>
    <s v="Paul Jacobs"/>
    <s v="Paul"/>
    <s v="Jacobs"/>
    <x v="5"/>
    <s v="Birmingham"/>
    <x v="0"/>
    <s v="Laptop"/>
    <n v="-8"/>
    <n v="616.26"/>
    <n v="0.2"/>
    <n v="766.3"/>
    <x v="3"/>
    <x v="1"/>
    <s v="Return"/>
    <s v="OK"/>
    <n v="-3944.0640000000003"/>
    <n v="-6130.4"/>
    <n v="2186.3359999999993"/>
    <n v="-0.55433583227858352"/>
  </r>
  <r>
    <s v="ORD1136"/>
    <d v="2024-12-15T00:00:00"/>
    <n v="12"/>
    <x v="2"/>
    <x v="1"/>
    <x v="2"/>
    <x v="25"/>
    <s v="Victor Osborn"/>
    <s v="Victor"/>
    <s v="Osborn"/>
    <x v="4"/>
    <s v="Norwich"/>
    <x v="2"/>
    <s v="Desk"/>
    <n v="3"/>
    <n v="524.91999999999996"/>
    <n v="0.05"/>
    <n v="538.17999999999995"/>
    <x v="2"/>
    <x v="0"/>
    <s v="Sale"/>
    <s v="OK"/>
    <n v="1496.0219999999997"/>
    <n v="1614.54"/>
    <n v="-118.51800000000026"/>
    <n v="-7.9222097001247493E-2"/>
  </r>
  <r>
    <s v="ORD1137"/>
    <d v="2025-03-01T00:00:00"/>
    <n v="3"/>
    <x v="5"/>
    <x v="0"/>
    <x v="5"/>
    <x v="50"/>
    <s v="Justin Knight"/>
    <s v="Justin"/>
    <s v="Knight"/>
    <x v="3"/>
    <s v="Leeds"/>
    <x v="2"/>
    <s v="Cabinet"/>
    <n v="14"/>
    <n v="693.63"/>
    <n v="0.2"/>
    <n v="190.1"/>
    <x v="2"/>
    <x v="0"/>
    <s v="Sale"/>
    <s v="OK"/>
    <n v="7768.6559999999999"/>
    <n v="2661.4"/>
    <n v="5107.2559999999994"/>
    <n v="0.65741822008851969"/>
  </r>
  <r>
    <s v="ORD1138"/>
    <d v="2024-02-21T00:00:00"/>
    <n v="2"/>
    <x v="3"/>
    <x v="1"/>
    <x v="3"/>
    <x v="39"/>
    <s v="Karen Green"/>
    <s v="Karen"/>
    <s v="Green"/>
    <x v="3"/>
    <s v="London"/>
    <x v="0"/>
    <s v="Laptop"/>
    <n v="11"/>
    <n v="77.77"/>
    <n v="0.05"/>
    <n v="403.46"/>
    <x v="1"/>
    <x v="0"/>
    <s v="Sale"/>
    <s v="OK"/>
    <n v="812.6964999999999"/>
    <n v="4438.0599999999995"/>
    <n v="-3625.3634999999995"/>
    <n v="-4.4609069929549348"/>
  </r>
  <r>
    <s v="ORD1139"/>
    <d v="2024-10-22T00:00:00"/>
    <n v="10"/>
    <x v="10"/>
    <x v="1"/>
    <x v="10"/>
    <x v="37"/>
    <s v="Amanda Ray"/>
    <s v="Amanda"/>
    <s v="Ray"/>
    <x v="2"/>
    <s v="Bristol"/>
    <x v="1"/>
    <s v="Pen"/>
    <n v="6"/>
    <n v="1315.01"/>
    <n v="0.1"/>
    <n v="522.21"/>
    <x v="3"/>
    <x v="1"/>
    <s v="Sale"/>
    <s v="Check"/>
    <n v="7101.0540000000001"/>
    <n v="3133.26"/>
    <n v="3967.7939999999999"/>
    <n v="0.55876127684707089"/>
  </r>
  <r>
    <s v="ORD1140"/>
    <d v="2025-04-27T00:00:00"/>
    <n v="4"/>
    <x v="8"/>
    <x v="0"/>
    <x v="8"/>
    <x v="12"/>
    <s v="Daniel Hutchinson"/>
    <s v="Daniel"/>
    <s v="Hutchinson"/>
    <x v="4"/>
    <s v="Manchester"/>
    <x v="0"/>
    <s v="Keyboard"/>
    <n v="9"/>
    <n v="627.41"/>
    <n v="0.05"/>
    <n v="377.71"/>
    <x v="0"/>
    <x v="1"/>
    <s v="Sale"/>
    <s v="Check"/>
    <n v="5364.3554999999997"/>
    <n v="3399.39"/>
    <n v="1964.9654999999998"/>
    <n v="0.36630038780986829"/>
  </r>
  <r>
    <s v="ORD1141"/>
    <d v="2025-10-05T00:00:00"/>
    <n v="10"/>
    <x v="20"/>
    <x v="0"/>
    <x v="20"/>
    <x v="74"/>
    <s v="Tracy Oliver"/>
    <s v="Tracy"/>
    <s v="Oliver"/>
    <x v="4"/>
    <s v="Norwich"/>
    <x v="0"/>
    <s v="Mouse"/>
    <n v="7"/>
    <n v="308.99"/>
    <n v="0.1"/>
    <n v="922.38"/>
    <x v="1"/>
    <x v="1"/>
    <s v="Sale"/>
    <s v="Check"/>
    <n v="1946.6370000000004"/>
    <n v="6456.66"/>
    <n v="-4510.0229999999992"/>
    <n v="-2.316827944809432"/>
  </r>
  <r>
    <s v="ORD1142"/>
    <d v="2024-01-21T00:00:00"/>
    <n v="1"/>
    <x v="11"/>
    <x v="1"/>
    <x v="11"/>
    <x v="37"/>
    <s v="Deborah Carter"/>
    <s v="Deborah"/>
    <s v="Carter"/>
    <x v="3"/>
    <s v="London"/>
    <x v="1"/>
    <s v="Stapler"/>
    <n v="13"/>
    <n v="1008.82"/>
    <n v="0.1"/>
    <n v="210.47"/>
    <x v="0"/>
    <x v="0"/>
    <s v="Sale"/>
    <s v="OK"/>
    <n v="11803.194"/>
    <n v="2736.11"/>
    <n v="9067.0839999999989"/>
    <n v="0.76818901731175471"/>
  </r>
  <r>
    <s v="ORD1143"/>
    <d v="2024-12-22T00:00:00"/>
    <n v="12"/>
    <x v="2"/>
    <x v="1"/>
    <x v="2"/>
    <x v="49"/>
    <s v="Joseph Klein"/>
    <s v="Joseph"/>
    <s v="Klein"/>
    <x v="5"/>
    <s v="Leeds"/>
    <x v="2"/>
    <s v="Desk"/>
    <n v="15"/>
    <n v="485.81"/>
    <n v="0.2"/>
    <n v="467.32"/>
    <x v="3"/>
    <x v="1"/>
    <s v="Sale"/>
    <s v="Check"/>
    <n v="5829.72"/>
    <n v="7009.8"/>
    <n v="-1180.08"/>
    <n v="-0.2024248162862024"/>
  </r>
  <r>
    <s v="ORD1144"/>
    <d v="2025-01-24T00:00:00"/>
    <n v="1"/>
    <x v="0"/>
    <x v="0"/>
    <x v="0"/>
    <x v="46"/>
    <s v="Jeffrey Roman"/>
    <s v="Jeffrey"/>
    <s v="Roman"/>
    <x v="3"/>
    <s v="Manchester"/>
    <x v="0"/>
    <s v="Mouse"/>
    <n v="6"/>
    <n v="73.34"/>
    <n v="0"/>
    <n v="741.77"/>
    <x v="0"/>
    <x v="0"/>
    <s v="Sale"/>
    <s v="OK"/>
    <n v="440.04"/>
    <n v="4450.62"/>
    <n v="-4010.58"/>
    <n v="-9.1141259885464958"/>
  </r>
  <r>
    <s v="ORD1145"/>
    <d v="2024-07-13T00:00:00"/>
    <n v="7"/>
    <x v="1"/>
    <x v="1"/>
    <x v="1"/>
    <x v="67"/>
    <s v="Hunter Rivers"/>
    <s v="Hunter"/>
    <s v="Rivers"/>
    <x v="2"/>
    <s v="London"/>
    <x v="0"/>
    <s v="Monitor"/>
    <n v="9"/>
    <n v="1028.8499999999999"/>
    <n v="0.2"/>
    <n v="821.95"/>
    <x v="1"/>
    <x v="0"/>
    <s v="Sale"/>
    <s v="OK"/>
    <n v="7407.72"/>
    <n v="7397.55"/>
    <n v="10.170000000000073"/>
    <n v="1.3728920639549109E-3"/>
  </r>
  <r>
    <s v="ORD1146"/>
    <d v="2024-04-04T00:00:00"/>
    <n v="4"/>
    <x v="13"/>
    <x v="1"/>
    <x v="13"/>
    <x v="14"/>
    <s v="Michelle Hodges"/>
    <s v="Michelle"/>
    <s v="Hodges"/>
    <x v="3"/>
    <s v="London"/>
    <x v="0"/>
    <s v="Mouse"/>
    <n v="11"/>
    <n v="788.3"/>
    <n v="0.2"/>
    <n v="76.180000000000007"/>
    <x v="0"/>
    <x v="0"/>
    <s v="Sale"/>
    <s v="OK"/>
    <n v="6937.04"/>
    <n v="837.98"/>
    <n v="6099.0599999999995"/>
    <n v="0.8792020804262336"/>
  </r>
  <r>
    <s v="ORD1147"/>
    <d v="2024-04-21T00:00:00"/>
    <n v="4"/>
    <x v="13"/>
    <x v="1"/>
    <x v="13"/>
    <x v="72"/>
    <s v="Jacob Lane"/>
    <s v="Jacob"/>
    <s v="Lane"/>
    <x v="3"/>
    <s v="Norwich"/>
    <x v="0"/>
    <s v="Laptop"/>
    <n v="10"/>
    <n v="1401.19"/>
    <n v="0"/>
    <n v="659.97"/>
    <x v="2"/>
    <x v="0"/>
    <s v="Sale"/>
    <s v="OK"/>
    <n v="14011.900000000001"/>
    <n v="6599.7000000000007"/>
    <n v="7412.2000000000007"/>
    <n v="0.52899321291188206"/>
  </r>
  <r>
    <s v="ORD1148"/>
    <d v="2024-09-01T00:00:00"/>
    <n v="9"/>
    <x v="6"/>
    <x v="1"/>
    <x v="6"/>
    <x v="75"/>
    <s v="Leslie Brown"/>
    <s v="Leslie"/>
    <s v="Brown"/>
    <x v="1"/>
    <s v="Manchester"/>
    <x v="1"/>
    <s v="Pen"/>
    <n v="7"/>
    <n v="1365.11"/>
    <n v="0.05"/>
    <n v="98.12"/>
    <x v="1"/>
    <x v="1"/>
    <s v="Sale"/>
    <s v="Check"/>
    <n v="9077.9814999999981"/>
    <n v="686.84"/>
    <n v="8391.1414999999979"/>
    <n v="0.92434000884447709"/>
  </r>
  <r>
    <s v="ORD1149"/>
    <d v="2025-06-05T00:00:00"/>
    <n v="6"/>
    <x v="16"/>
    <x v="0"/>
    <x v="16"/>
    <x v="0"/>
    <s v="Brandi Wells"/>
    <s v="Brandi"/>
    <s v="Wells"/>
    <x v="3"/>
    <s v="Birmingham"/>
    <x v="0"/>
    <s v="Keyboard"/>
    <n v="12"/>
    <n v="1027.6400000000001"/>
    <n v="0.2"/>
    <n v="654.42999999999995"/>
    <x v="3"/>
    <x v="1"/>
    <s v="Sale"/>
    <s v="Check"/>
    <n v="9865.344000000001"/>
    <n v="7853.16"/>
    <n v="2012.1840000000011"/>
    <n v="0.20396490989062327"/>
  </r>
  <r>
    <s v="ORD1150"/>
    <d v="2024-12-25T00:00:00"/>
    <n v="12"/>
    <x v="2"/>
    <x v="1"/>
    <x v="2"/>
    <x v="58"/>
    <s v="Charles Bell"/>
    <s v="Charles"/>
    <s v="Bell"/>
    <x v="4"/>
    <s v="London"/>
    <x v="0"/>
    <s v="Laptop"/>
    <n v="8"/>
    <n v="969.14"/>
    <n v="0"/>
    <n v="977.37"/>
    <x v="3"/>
    <x v="0"/>
    <s v="Sale"/>
    <s v="OK"/>
    <n v="7753.12"/>
    <n v="7818.96"/>
    <n v="-65.840000000000146"/>
    <n v="-8.4920651299090107E-3"/>
  </r>
  <r>
    <s v="ORD1151"/>
    <d v="2024-12-16T00:00:00"/>
    <n v="12"/>
    <x v="2"/>
    <x v="1"/>
    <x v="2"/>
    <x v="33"/>
    <s v="Matthew Nelson"/>
    <s v="Matthew"/>
    <s v="Nelson"/>
    <x v="3"/>
    <s v="Norwich"/>
    <x v="0"/>
    <s v="Laptop"/>
    <n v="10"/>
    <n v="273.13"/>
    <n v="0.05"/>
    <n v="17.63"/>
    <x v="1"/>
    <x v="0"/>
    <s v="Sale"/>
    <s v="OK"/>
    <n v="2594.7350000000001"/>
    <n v="176.29999999999998"/>
    <n v="2418.4349999999999"/>
    <n v="0.93205471849726462"/>
  </r>
  <r>
    <s v="ORD1152"/>
    <d v="2024-10-17T00:00:00"/>
    <n v="10"/>
    <x v="10"/>
    <x v="1"/>
    <x v="10"/>
    <x v="24"/>
    <s v="Lawrence Rios"/>
    <s v="Lawrence"/>
    <s v="Rios"/>
    <x v="5"/>
    <s v="Norwich"/>
    <x v="1"/>
    <s v="Paper"/>
    <n v="15"/>
    <n v="578.85"/>
    <n v="0.2"/>
    <n v="790.92"/>
    <x v="2"/>
    <x v="1"/>
    <s v="Sale"/>
    <s v="Check"/>
    <n v="6946.2000000000007"/>
    <n v="11863.8"/>
    <n v="-4917.5999999999985"/>
    <n v="-0.707955428867582"/>
  </r>
  <r>
    <s v="ORD1153"/>
    <d v="2024-06-23T00:00:00"/>
    <n v="6"/>
    <x v="7"/>
    <x v="1"/>
    <x v="7"/>
    <x v="29"/>
    <s v="Christine Wright"/>
    <s v="Christine"/>
    <s v="Wright"/>
    <x v="3"/>
    <s v="Birmingham"/>
    <x v="0"/>
    <s v="Laptop"/>
    <n v="10"/>
    <n v="0"/>
    <n v="0.1"/>
    <n v="274.77999999999997"/>
    <x v="0"/>
    <x v="1"/>
    <s v="Sale"/>
    <s v="Check"/>
    <n v="0"/>
    <n v="2747.7999999999997"/>
    <n v="-2747.7999999999997"/>
    <s v=" "/>
  </r>
  <r>
    <s v="ORD1154"/>
    <d v="2025-02-12T00:00:00"/>
    <n v="2"/>
    <x v="15"/>
    <x v="0"/>
    <x v="15"/>
    <x v="56"/>
    <s v="Sarah Mcgee"/>
    <s v="Sarah"/>
    <s v="Mcgee"/>
    <x v="0"/>
    <s v="Norwich"/>
    <x v="0"/>
    <s v="Keyboard"/>
    <n v="2"/>
    <n v="235.56"/>
    <n v="0.2"/>
    <n v="634.63"/>
    <x v="2"/>
    <x v="0"/>
    <s v="Sale"/>
    <s v="OK"/>
    <n v="376.89600000000002"/>
    <n v="1269.26"/>
    <n v="-892.36400000000003"/>
    <n v="-2.3676664119544912"/>
  </r>
  <r>
    <s v="ORD1155"/>
    <d v="2025-01-24T00:00:00"/>
    <n v="1"/>
    <x v="0"/>
    <x v="0"/>
    <x v="0"/>
    <x v="76"/>
    <s v="Hannah Escobar"/>
    <s v="Hannah"/>
    <s v="Escobar"/>
    <x v="0"/>
    <s v="Leeds"/>
    <x v="2"/>
    <s v="Chair"/>
    <n v="3"/>
    <n v="649.30999999999995"/>
    <n v="0"/>
    <n v="513.41999999999996"/>
    <x v="1"/>
    <x v="1"/>
    <s v="Sale"/>
    <s v="Check"/>
    <n v="1947.9299999999998"/>
    <n v="1540.2599999999998"/>
    <n v="407.67000000000007"/>
    <n v="0.20928370115969266"/>
  </r>
  <r>
    <s v="ORD1156"/>
    <d v="2024-07-30T00:00:00"/>
    <n v="7"/>
    <x v="1"/>
    <x v="1"/>
    <x v="1"/>
    <x v="2"/>
    <s v="Andrea Robinson"/>
    <s v="Andrea"/>
    <s v="Robinson"/>
    <x v="1"/>
    <s v="Manchester"/>
    <x v="0"/>
    <s v="Keyboard"/>
    <n v="15"/>
    <n v="1489.13"/>
    <n v="0.2"/>
    <n v="522.05999999999995"/>
    <x v="1"/>
    <x v="1"/>
    <s v="Sale"/>
    <s v="Check"/>
    <n v="17869.560000000001"/>
    <n v="7830.9"/>
    <n v="10038.660000000002"/>
    <n v="0.56177432460564225"/>
  </r>
  <r>
    <s v="ORD1157"/>
    <d v="2024-03-26T00:00:00"/>
    <n v="3"/>
    <x v="9"/>
    <x v="1"/>
    <x v="9"/>
    <x v="77"/>
    <s v="Tracy Herrera"/>
    <s v="Tracy"/>
    <s v="Herrera"/>
    <x v="2"/>
    <s v="Norwich"/>
    <x v="0"/>
    <s v="Laptop"/>
    <n v="8"/>
    <n v="544.88"/>
    <n v="0.1"/>
    <n v="721.46"/>
    <x v="0"/>
    <x v="0"/>
    <s v="Sale"/>
    <s v="OK"/>
    <n v="3923.136"/>
    <n v="5771.68"/>
    <n v="-1848.5440000000003"/>
    <n v="-0.47119039462307716"/>
  </r>
  <r>
    <s v="ORD1158"/>
    <d v="2024-06-19T00:00:00"/>
    <n v="6"/>
    <x v="7"/>
    <x v="1"/>
    <x v="7"/>
    <x v="78"/>
    <s v="Daniel Edwards"/>
    <s v="Daniel"/>
    <s v="Edwards"/>
    <x v="4"/>
    <s v="Birmingham"/>
    <x v="0"/>
    <s v="Mouse"/>
    <n v="14"/>
    <n v="505.43"/>
    <n v="0.05"/>
    <n v="859.79"/>
    <x v="1"/>
    <x v="0"/>
    <s v="Sale"/>
    <s v="OK"/>
    <n v="6722.2190000000001"/>
    <n v="12037.06"/>
    <n v="-5314.8409999999994"/>
    <n v="-0.7906378831156794"/>
  </r>
  <r>
    <s v="ORD1159"/>
    <d v="2024-05-29T00:00:00"/>
    <n v="5"/>
    <x v="14"/>
    <x v="1"/>
    <x v="14"/>
    <x v="70"/>
    <s v="Edgar Bishop"/>
    <s v="Edgar"/>
    <s v="Bishop"/>
    <x v="4"/>
    <s v="Leeds"/>
    <x v="2"/>
    <s v="Chair"/>
    <n v="10"/>
    <n v="492.2"/>
    <n v="0.1"/>
    <n v="786.29"/>
    <x v="0"/>
    <x v="0"/>
    <s v="Sale"/>
    <s v="OK"/>
    <n v="4429.8"/>
    <n v="7862.9"/>
    <n v="-3433.0999999999995"/>
    <n v="-0.77500112871912941"/>
  </r>
  <r>
    <s v="ORD1160"/>
    <d v="2024-04-17T00:00:00"/>
    <n v="4"/>
    <x v="13"/>
    <x v="1"/>
    <x v="13"/>
    <x v="3"/>
    <s v="Amanda Blair"/>
    <s v="Amanda"/>
    <s v="Blair"/>
    <x v="1"/>
    <s v="Bristol"/>
    <x v="2"/>
    <s v="Cabinet"/>
    <n v="12"/>
    <n v="1272.44"/>
    <n v="0.05"/>
    <n v="673.63"/>
    <x v="0"/>
    <x v="1"/>
    <s v="Sale"/>
    <s v="Check"/>
    <n v="14505.816000000001"/>
    <n v="8083.5599999999995"/>
    <n v="6422.2560000000012"/>
    <n v="0.44273662371010364"/>
  </r>
  <r>
    <s v="ORD1161"/>
    <d v="2024-08-17T00:00:00"/>
    <n v="8"/>
    <x v="4"/>
    <x v="1"/>
    <x v="4"/>
    <x v="55"/>
    <s v="Edward Ruiz"/>
    <s v="Edward"/>
    <s v="Ruiz"/>
    <x v="0"/>
    <s v="Norwich"/>
    <x v="2"/>
    <s v="Desk"/>
    <n v="7"/>
    <n v="1385.63"/>
    <n v="0"/>
    <n v="419.46"/>
    <x v="0"/>
    <x v="0"/>
    <s v="Sale"/>
    <s v="OK"/>
    <n v="9699.41"/>
    <n v="2936.22"/>
    <n v="6763.1900000000005"/>
    <n v="0.69727849425892918"/>
  </r>
  <r>
    <s v="ORD1162"/>
    <d v="2024-10-15T00:00:00"/>
    <n v="10"/>
    <x v="10"/>
    <x v="1"/>
    <x v="10"/>
    <x v="46"/>
    <s v="Kristina Haley"/>
    <s v="Kristina"/>
    <s v="Haley"/>
    <x v="4"/>
    <s v="Birmingham"/>
    <x v="0"/>
    <s v="Laptop"/>
    <n v="7"/>
    <n v="500.74"/>
    <n v="0"/>
    <n v="107.73"/>
    <x v="1"/>
    <x v="1"/>
    <s v="Sale"/>
    <s v="Check"/>
    <n v="3505.1800000000003"/>
    <n v="754.11"/>
    <n v="2751.07"/>
    <n v="0.78485840955386021"/>
  </r>
  <r>
    <s v="ORD1163"/>
    <d v="2024-10-28T00:00:00"/>
    <n v="10"/>
    <x v="10"/>
    <x v="1"/>
    <x v="10"/>
    <x v="79"/>
    <s v="Cassandra Henderson"/>
    <s v="Cassandra"/>
    <s v="Henderson"/>
    <x v="5"/>
    <s v="Birmingham"/>
    <x v="2"/>
    <s v="Cabinet"/>
    <n v="1"/>
    <n v="446.67"/>
    <n v="0.2"/>
    <n v="87.68"/>
    <x v="0"/>
    <x v="1"/>
    <s v="Sale"/>
    <s v="Check"/>
    <n v="357.33600000000001"/>
    <n v="87.68"/>
    <n v="269.65600000000001"/>
    <n v="0.75462869680077016"/>
  </r>
  <r>
    <s v="ORD1164"/>
    <d v="2024-02-19T00:00:00"/>
    <n v="2"/>
    <x v="3"/>
    <x v="1"/>
    <x v="3"/>
    <x v="67"/>
    <s v="David Hill"/>
    <s v="David"/>
    <s v="Hill"/>
    <x v="2"/>
    <s v="Bristol"/>
    <x v="0"/>
    <s v="Mouse"/>
    <n v="6"/>
    <n v="71.8"/>
    <n v="0.1"/>
    <n v="24.54"/>
    <x v="0"/>
    <x v="0"/>
    <s v="Sale"/>
    <s v="OK"/>
    <n v="387.71999999999997"/>
    <n v="147.24"/>
    <n v="240.47999999999996"/>
    <n v="0.62024141132776223"/>
  </r>
  <r>
    <s v="ORD1165"/>
    <d v="2024-06-18T00:00:00"/>
    <n v="6"/>
    <x v="7"/>
    <x v="1"/>
    <x v="7"/>
    <x v="76"/>
    <s v="Tyrone Simon"/>
    <s v="Tyrone"/>
    <s v="Simon"/>
    <x v="4"/>
    <s v="Birmingham"/>
    <x v="1"/>
    <s v="Paper"/>
    <n v="4"/>
    <n v="946.49"/>
    <n v="0.1"/>
    <n v="657.99"/>
    <x v="3"/>
    <x v="1"/>
    <s v="Sale"/>
    <s v="Check"/>
    <n v="3407.364"/>
    <n v="2631.96"/>
    <n v="775.404"/>
    <n v="0.22756711639848282"/>
  </r>
  <r>
    <s v="ORD1166"/>
    <d v="2024-04-15T00:00:00"/>
    <n v="4"/>
    <x v="13"/>
    <x v="1"/>
    <x v="13"/>
    <x v="55"/>
    <s v="Jason Little"/>
    <s v="Jason"/>
    <s v="Little"/>
    <x v="2"/>
    <s v="Norwich"/>
    <x v="0"/>
    <s v="Monitor"/>
    <n v="12"/>
    <n v="98.53"/>
    <n v="0.05"/>
    <n v="872.24"/>
    <x v="1"/>
    <x v="1"/>
    <s v="Sale"/>
    <s v="Check"/>
    <n v="1123.242"/>
    <n v="10466.880000000001"/>
    <n v="-9343.6380000000008"/>
    <n v="-8.3184549723033872"/>
  </r>
  <r>
    <s v="ORD1167"/>
    <d v="2024-09-06T00:00:00"/>
    <n v="9"/>
    <x v="6"/>
    <x v="1"/>
    <x v="6"/>
    <x v="80"/>
    <s v="Caroline Walker"/>
    <s v="Caroline"/>
    <s v="Walker"/>
    <x v="0"/>
    <s v="Bristol"/>
    <x v="1"/>
    <s v="Stapler"/>
    <n v="10"/>
    <n v="531.22"/>
    <n v="0.2"/>
    <n v="174.18"/>
    <x v="0"/>
    <x v="0"/>
    <s v="Sale"/>
    <s v="OK"/>
    <n v="4249.7600000000011"/>
    <n v="1741.8000000000002"/>
    <n v="2507.9600000000009"/>
    <n v="0.59014156093520587"/>
  </r>
  <r>
    <s v="ORD1168"/>
    <d v="2024-06-05T00:00:00"/>
    <n v="6"/>
    <x v="7"/>
    <x v="1"/>
    <x v="7"/>
    <x v="19"/>
    <s v="Suzanne Vargas"/>
    <s v="Suzanne"/>
    <s v="Vargas"/>
    <x v="2"/>
    <s v="Leeds"/>
    <x v="0"/>
    <s v="Monitor"/>
    <n v="6"/>
    <n v="768.68"/>
    <n v="0.1"/>
    <n v="139.59"/>
    <x v="0"/>
    <x v="1"/>
    <s v="Sale"/>
    <s v="Check"/>
    <n v="4150.8720000000003"/>
    <n v="837.54"/>
    <n v="3313.3320000000003"/>
    <n v="0.79822552947910708"/>
  </r>
  <r>
    <s v="ORD1169"/>
    <d v="2024-04-05T00:00:00"/>
    <n v="4"/>
    <x v="13"/>
    <x v="1"/>
    <x v="13"/>
    <x v="69"/>
    <s v="Christopher Hicks"/>
    <s v="Christopher"/>
    <s v="Hicks"/>
    <x v="2"/>
    <s v="Birmingham"/>
    <x v="0"/>
    <s v="Monitor"/>
    <n v="1"/>
    <n v="1428"/>
    <n v="0.1"/>
    <n v="196.74"/>
    <x v="3"/>
    <x v="1"/>
    <s v="Sale"/>
    <s v="Check"/>
    <n v="1285.2"/>
    <n v="196.74"/>
    <n v="1088.46"/>
    <n v="0.84691876750700279"/>
  </r>
  <r>
    <s v="ORD1170"/>
    <d v="2024-03-26T00:00:00"/>
    <n v="3"/>
    <x v="9"/>
    <x v="1"/>
    <x v="9"/>
    <x v="81"/>
    <s v="Caitlin Haley"/>
    <s v="Caitlin"/>
    <s v="Haley"/>
    <x v="2"/>
    <s v="Leeds"/>
    <x v="2"/>
    <s v="Chair"/>
    <n v="1"/>
    <n v="0"/>
    <n v="0.1"/>
    <n v="226.39"/>
    <x v="2"/>
    <x v="0"/>
    <s v="Sale"/>
    <s v="OK"/>
    <n v="0"/>
    <n v="226.39"/>
    <n v="-226.39"/>
    <s v=" "/>
  </r>
  <r>
    <s v="ORD1171"/>
    <d v="2024-10-04T00:00:00"/>
    <n v="10"/>
    <x v="10"/>
    <x v="1"/>
    <x v="10"/>
    <x v="10"/>
    <s v="Jamie Bruce"/>
    <s v="Jamie"/>
    <s v="Bruce"/>
    <x v="3"/>
    <s v="Birmingham"/>
    <x v="0"/>
    <s v="Keyboard"/>
    <n v="12"/>
    <n v="331.72"/>
    <n v="0.2"/>
    <n v="736.52"/>
    <x v="1"/>
    <x v="0"/>
    <s v="Sale"/>
    <s v="OK"/>
    <n v="3184.5120000000006"/>
    <n v="8838.24"/>
    <n v="-5653.7279999999992"/>
    <n v="-1.7753828530085609"/>
  </r>
  <r>
    <s v="ORD1172"/>
    <d v="2025-03-19T00:00:00"/>
    <n v="3"/>
    <x v="5"/>
    <x v="0"/>
    <x v="5"/>
    <x v="82"/>
    <s v="Christopher Chen"/>
    <s v="Christopher"/>
    <s v="Chen"/>
    <x v="2"/>
    <s v="London"/>
    <x v="0"/>
    <s v="Mouse"/>
    <n v="4"/>
    <n v="1107.73"/>
    <n v="0.05"/>
    <n v="861.33"/>
    <x v="0"/>
    <x v="0"/>
    <s v="Sale"/>
    <s v="OK"/>
    <n v="4209.3739999999998"/>
    <n v="3445.32"/>
    <n v="764.05399999999963"/>
    <n v="0.18151250043355607"/>
  </r>
  <r>
    <s v="ORD1173"/>
    <d v="2024-09-29T00:00:00"/>
    <n v="9"/>
    <x v="6"/>
    <x v="1"/>
    <x v="6"/>
    <x v="83"/>
    <s v="Jordan Walker"/>
    <s v="Jordan"/>
    <s v="Walker"/>
    <x v="2"/>
    <s v="Birmingham"/>
    <x v="1"/>
    <s v="Pen"/>
    <n v="9"/>
    <n v="1468.61"/>
    <n v="0.05"/>
    <n v="573.59"/>
    <x v="2"/>
    <x v="0"/>
    <s v="Sale"/>
    <s v="OK"/>
    <n v="12556.6155"/>
    <n v="5162.3100000000004"/>
    <n v="7394.3054999999995"/>
    <n v="0.58887727349778285"/>
  </r>
  <r>
    <s v="ORD1174"/>
    <d v="2024-05-07T00:00:00"/>
    <n v="5"/>
    <x v="14"/>
    <x v="1"/>
    <x v="14"/>
    <x v="82"/>
    <s v="Jennifer Medina"/>
    <s v="Jennifer"/>
    <s v="Medina"/>
    <x v="3"/>
    <s v="Birmingham"/>
    <x v="0"/>
    <s v="Monitor"/>
    <n v="6"/>
    <n v="1143.4000000000001"/>
    <n v="0.05"/>
    <n v="490.48"/>
    <x v="3"/>
    <x v="0"/>
    <s v="Sale"/>
    <s v="OK"/>
    <n v="6517.38"/>
    <n v="2942.88"/>
    <n v="3574.5"/>
    <n v="0.54845658838367561"/>
  </r>
  <r>
    <s v="ORD1175"/>
    <d v="2024-09-20T00:00:00"/>
    <n v="9"/>
    <x v="6"/>
    <x v="1"/>
    <x v="6"/>
    <x v="74"/>
    <s v="Matthew Morgan"/>
    <s v="Matthew"/>
    <s v="Morgan"/>
    <x v="2"/>
    <s v="Bristol"/>
    <x v="0"/>
    <s v="Mouse"/>
    <n v="15"/>
    <n v="1425.63"/>
    <n v="0.2"/>
    <n v="4.47"/>
    <x v="1"/>
    <x v="0"/>
    <s v="Sale"/>
    <s v="OK"/>
    <n v="17107.560000000001"/>
    <n v="67.05"/>
    <n v="17040.510000000002"/>
    <n v="0.99608068012036788"/>
  </r>
  <r>
    <s v="ORD1176"/>
    <d v="2024-04-21T00:00:00"/>
    <n v="4"/>
    <x v="13"/>
    <x v="1"/>
    <x v="13"/>
    <x v="29"/>
    <s v="Cheryl Watts"/>
    <s v="Cheryl"/>
    <s v="Watts"/>
    <x v="3"/>
    <s v="Norwich"/>
    <x v="1"/>
    <s v="Pen"/>
    <n v="8"/>
    <n v="1243.3699999999999"/>
    <n v="0.05"/>
    <n v="578.78"/>
    <x v="2"/>
    <x v="1"/>
    <s v="Sale"/>
    <s v="Check"/>
    <n v="9449.6119999999992"/>
    <n v="4630.24"/>
    <n v="4819.3719999999994"/>
    <n v="0.5100073950126206"/>
  </r>
  <r>
    <s v="ORD1177"/>
    <d v="2025-04-20T00:00:00"/>
    <n v="4"/>
    <x v="8"/>
    <x v="0"/>
    <x v="8"/>
    <x v="37"/>
    <s v="Karen Owen"/>
    <s v="Karen"/>
    <s v="Owen"/>
    <x v="1"/>
    <s v="Norwich"/>
    <x v="0"/>
    <s v="Laptop"/>
    <n v="1"/>
    <n v="644.55999999999995"/>
    <n v="0.2"/>
    <n v="909.59"/>
    <x v="1"/>
    <x v="0"/>
    <s v="Sale"/>
    <s v="OK"/>
    <n v="515.64800000000002"/>
    <n v="909.59"/>
    <n v="-393.94200000000001"/>
    <n v="-0.7639746493732158"/>
  </r>
  <r>
    <s v="ORD1178"/>
    <d v="2024-12-06T00:00:00"/>
    <n v="12"/>
    <x v="2"/>
    <x v="1"/>
    <x v="2"/>
    <x v="80"/>
    <s v="Gary Galloway"/>
    <s v="Gary"/>
    <s v="Galloway"/>
    <x v="4"/>
    <s v="Birmingham"/>
    <x v="0"/>
    <s v="Keyboard"/>
    <n v="7"/>
    <n v="1090.3499999999999"/>
    <n v="0"/>
    <n v="430.37"/>
    <x v="2"/>
    <x v="0"/>
    <s v="Sale"/>
    <s v="OK"/>
    <n v="7632.4499999999989"/>
    <n v="3012.59"/>
    <n v="4619.8599999999988"/>
    <n v="0.60529187875452828"/>
  </r>
  <r>
    <s v="ORD1179"/>
    <d v="2024-09-22T00:00:00"/>
    <n v="9"/>
    <x v="6"/>
    <x v="1"/>
    <x v="6"/>
    <x v="11"/>
    <s v="Thomas Rodgers"/>
    <s v="Thomas"/>
    <s v="Rodgers"/>
    <x v="0"/>
    <s v="Bristol"/>
    <x v="1"/>
    <s v="Paper"/>
    <n v="12"/>
    <n v="185.29"/>
    <n v="0.1"/>
    <n v="694.64"/>
    <x v="2"/>
    <x v="0"/>
    <s v="Sale"/>
    <s v="OK"/>
    <n v="2001.1320000000001"/>
    <n v="8335.68"/>
    <n v="-6334.5480000000007"/>
    <n v="-3.1654823369972598"/>
  </r>
  <r>
    <s v="ORD1180"/>
    <d v="2025-03-27T00:00:00"/>
    <n v="3"/>
    <x v="5"/>
    <x v="0"/>
    <x v="5"/>
    <x v="84"/>
    <s v="Marvin Holland"/>
    <s v="Marvin"/>
    <s v="Holland"/>
    <x v="3"/>
    <s v="Leeds"/>
    <x v="0"/>
    <s v="Keyboard"/>
    <n v="7"/>
    <n v="1130.97"/>
    <n v="0.05"/>
    <n v="992.95"/>
    <x v="0"/>
    <x v="1"/>
    <s v="Sale"/>
    <s v="Check"/>
    <n v="7520.9504999999999"/>
    <n v="6950.6500000000005"/>
    <n v="570.30049999999937"/>
    <n v="7.5828248038595572E-2"/>
  </r>
  <r>
    <s v="ORD1181"/>
    <d v="2024-11-17T00:00:00"/>
    <n v="11"/>
    <x v="18"/>
    <x v="1"/>
    <x v="18"/>
    <x v="33"/>
    <s v="Zachary Potter"/>
    <s v="Zachary"/>
    <s v="Potter"/>
    <x v="5"/>
    <s v="Birmingham"/>
    <x v="0"/>
    <s v="Monitor"/>
    <n v="10"/>
    <n v="1290.6400000000001"/>
    <n v="0"/>
    <n v="102.26"/>
    <x v="1"/>
    <x v="0"/>
    <s v="Sale"/>
    <s v="OK"/>
    <n v="12906.400000000001"/>
    <n v="1022.6"/>
    <n v="11883.800000000001"/>
    <n v="0.92076799107419571"/>
  </r>
  <r>
    <s v="ORD1182"/>
    <d v="2024-11-26T00:00:00"/>
    <n v="11"/>
    <x v="18"/>
    <x v="1"/>
    <x v="18"/>
    <x v="22"/>
    <s v="Mary Pineda"/>
    <s v="Mary"/>
    <s v="Pineda"/>
    <x v="4"/>
    <s v="Leeds"/>
    <x v="0"/>
    <s v="Keyboard"/>
    <n v="9"/>
    <n v="1083.1600000000001"/>
    <n v="0"/>
    <n v="941.4"/>
    <x v="0"/>
    <x v="1"/>
    <s v="Sale"/>
    <s v="Check"/>
    <n v="9748.44"/>
    <n v="8472.6"/>
    <n v="1275.8400000000001"/>
    <n v="0.130876324827357"/>
  </r>
  <r>
    <s v="ORD1183"/>
    <d v="2025-05-02T00:00:00"/>
    <n v="5"/>
    <x v="12"/>
    <x v="0"/>
    <x v="12"/>
    <x v="55"/>
    <s v="David Ross"/>
    <s v="David"/>
    <s v="Ross"/>
    <x v="2"/>
    <s v="Birmingham"/>
    <x v="0"/>
    <s v="Laptop"/>
    <n v="8"/>
    <n v="365.42"/>
    <n v="0"/>
    <n v="72.87"/>
    <x v="3"/>
    <x v="0"/>
    <s v="Sale"/>
    <s v="OK"/>
    <n v="2923.36"/>
    <n v="582.96"/>
    <n v="2340.4"/>
    <n v="0.80058562749712658"/>
  </r>
  <r>
    <s v="ORD1184"/>
    <d v="2024-03-29T00:00:00"/>
    <n v="3"/>
    <x v="9"/>
    <x v="1"/>
    <x v="9"/>
    <x v="31"/>
    <s v="Thomas Kelly"/>
    <s v="Thomas"/>
    <s v="Kelly"/>
    <x v="3"/>
    <s v="Birmingham"/>
    <x v="1"/>
    <s v="Stapler"/>
    <n v="13"/>
    <n v="0"/>
    <n v="0"/>
    <n v="217.31"/>
    <x v="3"/>
    <x v="0"/>
    <s v="Sale"/>
    <s v="OK"/>
    <n v="0"/>
    <n v="2825.03"/>
    <n v="-2825.03"/>
    <s v=" "/>
  </r>
  <r>
    <s v="ORD1185"/>
    <d v="2024-11-11T00:00:00"/>
    <n v="11"/>
    <x v="18"/>
    <x v="1"/>
    <x v="18"/>
    <x v="45"/>
    <s v="Andrea Diaz"/>
    <s v="Andrea"/>
    <s v="Diaz"/>
    <x v="0"/>
    <s v="Manchester"/>
    <x v="1"/>
    <s v="Stapler"/>
    <n v="2"/>
    <n v="769.4"/>
    <n v="0.05"/>
    <n v="808.44"/>
    <x v="3"/>
    <x v="0"/>
    <s v="Sale"/>
    <s v="OK"/>
    <n v="1461.86"/>
    <n v="1616.88"/>
    <n v="-155.02000000000021"/>
    <n v="-0.10604298633248069"/>
  </r>
  <r>
    <s v="ORD1186"/>
    <d v="2024-02-14T00:00:00"/>
    <n v="2"/>
    <x v="3"/>
    <x v="1"/>
    <x v="3"/>
    <x v="51"/>
    <s v="Robert Wilson"/>
    <s v="Robert"/>
    <s v="Wilson"/>
    <x v="3"/>
    <s v="London"/>
    <x v="0"/>
    <s v="Monitor"/>
    <n v="10"/>
    <n v="467.39"/>
    <n v="0"/>
    <n v="741.18"/>
    <x v="3"/>
    <x v="0"/>
    <s v="Sale"/>
    <s v="OK"/>
    <n v="4673.8999999999996"/>
    <n v="7411.7999999999993"/>
    <n v="-2737.8999999999996"/>
    <n v="-0.58578489056248528"/>
  </r>
  <r>
    <s v="ORD1187"/>
    <d v="2025-02-04T00:00:00"/>
    <n v="2"/>
    <x v="15"/>
    <x v="0"/>
    <x v="15"/>
    <x v="85"/>
    <s v="Sarah Wade"/>
    <s v="Sarah"/>
    <s v="Wade"/>
    <x v="1"/>
    <s v="Leeds"/>
    <x v="1"/>
    <s v="Stapler"/>
    <n v="6"/>
    <n v="1172.78"/>
    <n v="0"/>
    <n v="886.64"/>
    <x v="2"/>
    <x v="0"/>
    <s v="Sale"/>
    <s v="OK"/>
    <n v="7036.68"/>
    <n v="5319.84"/>
    <n v="1716.8400000000001"/>
    <n v="0.24398437899691333"/>
  </r>
  <r>
    <s v="ORD1188"/>
    <d v="2024-09-02T00:00:00"/>
    <n v="9"/>
    <x v="6"/>
    <x v="1"/>
    <x v="6"/>
    <x v="86"/>
    <s v="David Frederick"/>
    <s v="David"/>
    <s v="Frederick"/>
    <x v="0"/>
    <s v="London"/>
    <x v="1"/>
    <s v="Stapler"/>
    <n v="1"/>
    <n v="852.49"/>
    <n v="0"/>
    <n v="256.61"/>
    <x v="2"/>
    <x v="0"/>
    <s v="Sale"/>
    <s v="OK"/>
    <n v="852.49"/>
    <n v="256.61"/>
    <n v="595.88"/>
    <n v="0.69898767140963525"/>
  </r>
  <r>
    <s v="ORD1189"/>
    <d v="2024-01-24T00:00:00"/>
    <n v="1"/>
    <x v="11"/>
    <x v="1"/>
    <x v="11"/>
    <x v="21"/>
    <s v="Margaret Bradley"/>
    <s v="Margaret"/>
    <s v="Bradley"/>
    <x v="4"/>
    <s v="Manchester"/>
    <x v="0"/>
    <s v="Monitor"/>
    <n v="3"/>
    <n v="0"/>
    <n v="0.2"/>
    <n v="803.51"/>
    <x v="0"/>
    <x v="1"/>
    <s v="Sale"/>
    <s v="Check"/>
    <n v="0"/>
    <n v="2410.5299999999997"/>
    <n v="-2410.5299999999997"/>
    <s v=" "/>
  </r>
  <r>
    <s v="ORD1190"/>
    <d v="2025-02-26T00:00:00"/>
    <n v="2"/>
    <x v="15"/>
    <x v="0"/>
    <x v="15"/>
    <x v="47"/>
    <s v="Kathy Morris"/>
    <s v="Kathy"/>
    <s v="Morris"/>
    <x v="0"/>
    <s v="Birmingham"/>
    <x v="0"/>
    <s v="Keyboard"/>
    <n v="6"/>
    <n v="1011.62"/>
    <n v="0.05"/>
    <n v="224.74"/>
    <x v="1"/>
    <x v="0"/>
    <s v="Sale"/>
    <s v="OK"/>
    <n v="5766.2340000000004"/>
    <n v="1348.44"/>
    <n v="4417.7939999999999"/>
    <n v="0.76614892839936766"/>
  </r>
  <r>
    <s v="ORD1191"/>
    <d v="2024-10-10T00:00:00"/>
    <n v="10"/>
    <x v="10"/>
    <x v="1"/>
    <x v="10"/>
    <x v="41"/>
    <s v="Anthony Wood"/>
    <s v="Anthony"/>
    <s v="Wood"/>
    <x v="4"/>
    <s v="Bristol"/>
    <x v="0"/>
    <s v="Laptop"/>
    <n v="5"/>
    <n v="459.34"/>
    <n v="0.05"/>
    <n v="465"/>
    <x v="0"/>
    <x v="0"/>
    <s v="Sale"/>
    <s v="OK"/>
    <n v="2181.8649999999998"/>
    <n v="2325"/>
    <n v="-143.13500000000022"/>
    <n v="-6.560213395420901E-2"/>
  </r>
  <r>
    <s v="ORD1192"/>
    <d v="2024-01-13T00:00:00"/>
    <n v="1"/>
    <x v="11"/>
    <x v="1"/>
    <x v="11"/>
    <x v="2"/>
    <s v="Wendy Lopez"/>
    <s v="Wendy"/>
    <s v="Lopez"/>
    <x v="1"/>
    <s v="Norwich"/>
    <x v="0"/>
    <s v="Mouse"/>
    <n v="6"/>
    <n v="0"/>
    <n v="0.2"/>
    <n v="336.35"/>
    <x v="0"/>
    <x v="0"/>
    <s v="Sale"/>
    <s v="OK"/>
    <n v="0"/>
    <n v="2018.1000000000001"/>
    <n v="-2018.1000000000001"/>
    <s v=" "/>
  </r>
  <r>
    <s v="ORD1193"/>
    <d v="2025-05-07T00:00:00"/>
    <n v="5"/>
    <x v="12"/>
    <x v="0"/>
    <x v="12"/>
    <x v="38"/>
    <s v="Edward Clarke"/>
    <s v="Edward"/>
    <s v="Clarke"/>
    <x v="5"/>
    <s v="Birmingham"/>
    <x v="2"/>
    <s v="Chair"/>
    <n v="3"/>
    <n v="144.07"/>
    <n v="0.05"/>
    <n v="897.49"/>
    <x v="2"/>
    <x v="0"/>
    <s v="Sale"/>
    <s v="OK"/>
    <n v="410.59949999999998"/>
    <n v="2692.4700000000003"/>
    <n v="-2281.8705000000004"/>
    <n v="-5.5574117844761153"/>
  </r>
  <r>
    <s v="ORD1194"/>
    <d v="2024-11-22T00:00:00"/>
    <n v="11"/>
    <x v="18"/>
    <x v="1"/>
    <x v="18"/>
    <x v="31"/>
    <s v="Carol Johnson"/>
    <s v="Carol"/>
    <s v="Johnson"/>
    <x v="5"/>
    <s v="Manchester"/>
    <x v="1"/>
    <s v="Paper"/>
    <n v="10"/>
    <n v="995.35"/>
    <n v="0.1"/>
    <n v="293.08999999999997"/>
    <x v="3"/>
    <x v="0"/>
    <s v="Sale"/>
    <s v="OK"/>
    <n v="8958.15"/>
    <n v="2930.8999999999996"/>
    <n v="6027.25"/>
    <n v="0.67282307172797962"/>
  </r>
  <r>
    <s v="ORD1195"/>
    <d v="2025-04-28T00:00:00"/>
    <n v="4"/>
    <x v="8"/>
    <x v="0"/>
    <x v="8"/>
    <x v="38"/>
    <s v="Tammy Love"/>
    <s v="Tammy"/>
    <s v="Love"/>
    <x v="5"/>
    <s v="London"/>
    <x v="0"/>
    <s v="Laptop"/>
    <n v="13"/>
    <n v="167.91"/>
    <n v="0.1"/>
    <n v="450.67"/>
    <x v="3"/>
    <x v="0"/>
    <s v="Sale"/>
    <s v="OK"/>
    <n v="1964.547"/>
    <n v="5858.71"/>
    <n v="-3894.163"/>
    <n v="-1.9822193106095196"/>
  </r>
  <r>
    <s v="ORD1196"/>
    <d v="2025-03-12T00:00:00"/>
    <n v="3"/>
    <x v="5"/>
    <x v="0"/>
    <x v="5"/>
    <x v="45"/>
    <s v="Dawn Gordon"/>
    <s v="Dawn"/>
    <s v="Gordon"/>
    <x v="4"/>
    <s v="Manchester"/>
    <x v="2"/>
    <s v="Chair"/>
    <n v="3"/>
    <n v="459.8"/>
    <n v="0.05"/>
    <n v="604.1"/>
    <x v="3"/>
    <x v="0"/>
    <s v="Sale"/>
    <s v="OK"/>
    <n v="1310.43"/>
    <n v="1812.3000000000002"/>
    <n v="-501.87000000000012"/>
    <n v="-0.38298115885625339"/>
  </r>
  <r>
    <s v="ORD1197"/>
    <d v="2025-02-23T00:00:00"/>
    <n v="2"/>
    <x v="15"/>
    <x v="0"/>
    <x v="15"/>
    <x v="78"/>
    <s v="Gary Miranda"/>
    <s v="Gary"/>
    <s v="Miranda"/>
    <x v="3"/>
    <s v="London"/>
    <x v="0"/>
    <s v="Keyboard"/>
    <n v="7"/>
    <n v="836.15"/>
    <n v="0"/>
    <n v="96.54"/>
    <x v="0"/>
    <x v="0"/>
    <s v="Sale"/>
    <s v="OK"/>
    <n v="5853.05"/>
    <n v="675.78000000000009"/>
    <n v="5177.2700000000004"/>
    <n v="0.88454224720444896"/>
  </r>
  <r>
    <s v="ORD1198"/>
    <d v="2024-12-17T00:00:00"/>
    <n v="12"/>
    <x v="2"/>
    <x v="1"/>
    <x v="2"/>
    <x v="67"/>
    <s v="Sean Moss"/>
    <s v="Sean"/>
    <s v="Moss"/>
    <x v="2"/>
    <s v="Norwich"/>
    <x v="2"/>
    <s v="Chair"/>
    <n v="10"/>
    <n v="1376.56"/>
    <n v="0.05"/>
    <n v="997.17"/>
    <x v="1"/>
    <x v="0"/>
    <s v="Sale"/>
    <s v="OK"/>
    <n v="13077.319999999998"/>
    <n v="9971.6999999999989"/>
    <n v="3105.619999999999"/>
    <n v="0.23748137997693713"/>
  </r>
  <r>
    <s v="ORD1199"/>
    <d v="2024-01-26T00:00:00"/>
    <n v="1"/>
    <x v="11"/>
    <x v="1"/>
    <x v="11"/>
    <x v="87"/>
    <s v="Sara Brewer"/>
    <s v="Sara"/>
    <s v="Brewer"/>
    <x v="2"/>
    <s v="Manchester"/>
    <x v="0"/>
    <s v="Mouse"/>
    <n v="10"/>
    <n v="1088.02"/>
    <n v="0.1"/>
    <n v="383.96"/>
    <x v="1"/>
    <x v="1"/>
    <s v="Sale"/>
    <s v="Check"/>
    <n v="9792.18"/>
    <n v="3839.6"/>
    <n v="5952.58"/>
    <n v="0.60789119481055287"/>
  </r>
  <r>
    <s v="ORD1200"/>
    <d v="2024-11-10T00:00:00"/>
    <n v="11"/>
    <x v="18"/>
    <x v="1"/>
    <x v="18"/>
    <x v="78"/>
    <s v="Stephanie White"/>
    <s v="Stephanie"/>
    <s v="White"/>
    <x v="4"/>
    <s v="Bristol"/>
    <x v="0"/>
    <s v="Laptop"/>
    <n v="5"/>
    <n v="1324.75"/>
    <n v="0.1"/>
    <n v="89.55"/>
    <x v="2"/>
    <x v="1"/>
    <s v="Sale"/>
    <s v="Check"/>
    <n v="5961.375"/>
    <n v="447.75"/>
    <n v="5513.625"/>
    <n v="0.924891488960181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B6500F-6D46-41B8-A49A-78DA369CDDEA}" name="Profit_total"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8:A79" firstHeaderRow="1" firstDataRow="1" firstDataCol="0"/>
  <pivotFields count="33">
    <pivotField showAll="0"/>
    <pivotField numFmtId="14" showAll="0"/>
    <pivotField showAll="0"/>
    <pivotField numFmtId="167" showAll="0">
      <items count="22">
        <item x="11"/>
        <item x="3"/>
        <item x="9"/>
        <item x="13"/>
        <item x="14"/>
        <item x="7"/>
        <item x="1"/>
        <item x="4"/>
        <item x="6"/>
        <item x="10"/>
        <item x="18"/>
        <item x="2"/>
        <item x="0"/>
        <item x="15"/>
        <item x="5"/>
        <item x="8"/>
        <item x="12"/>
        <item x="16"/>
        <item x="20"/>
        <item x="17"/>
        <item x="19"/>
        <item t="default"/>
      </items>
    </pivotField>
    <pivotField showAll="0">
      <items count="3">
        <item x="1"/>
        <item x="0"/>
        <item t="default"/>
      </items>
    </pivotField>
    <pivotField numFmtId="164" showAll="0">
      <items count="22">
        <item x="11"/>
        <item x="3"/>
        <item x="9"/>
        <item x="13"/>
        <item x="14"/>
        <item x="7"/>
        <item x="1"/>
        <item x="4"/>
        <item x="6"/>
        <item x="10"/>
        <item x="18"/>
        <item x="2"/>
        <item x="0"/>
        <item x="15"/>
        <item x="5"/>
        <item x="8"/>
        <item x="12"/>
        <item x="16"/>
        <item x="20"/>
        <item x="17"/>
        <item x="19"/>
        <item t="default"/>
      </items>
    </pivotField>
    <pivotField showAll="0"/>
    <pivotField showAll="0"/>
    <pivotField showAll="0"/>
    <pivotField showAll="0"/>
    <pivotField showAll="0">
      <items count="7">
        <item x="3"/>
        <item x="1"/>
        <item x="5"/>
        <item x="2"/>
        <item x="4"/>
        <item x="0"/>
        <item t="default"/>
      </items>
    </pivotField>
    <pivotField showAll="0"/>
    <pivotField showAll="0">
      <items count="4">
        <item x="2"/>
        <item x="1"/>
        <item x="0"/>
        <item t="default"/>
      </items>
    </pivotField>
    <pivotField showAll="0"/>
    <pivotField numFmtId="165" showAll="0"/>
    <pivotField numFmtId="166" showAll="0"/>
    <pivotField numFmtId="2" showAll="0"/>
    <pivotField numFmtId="166" showAll="0"/>
    <pivotField showAll="0"/>
    <pivotField showAll="0">
      <items count="3">
        <item x="1"/>
        <item x="0"/>
        <item t="default"/>
      </items>
    </pivotField>
    <pivotField showAll="0"/>
    <pivotField showAll="0"/>
    <pivotField numFmtId="166" showAll="0"/>
    <pivotField numFmtId="166" showAll="0"/>
    <pivotField dataField="1" numFmtId="166"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dragToRow="0" dragToCol="0" dragToPage="0" showAll="0" defaultSubtotal="0"/>
  </pivotFields>
  <rowItems count="1">
    <i/>
  </rowItems>
  <colItems count="1">
    <i/>
  </colItems>
  <dataFields count="1">
    <dataField name="Sum of profit"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4CE248-B3DC-440C-A245-5D2BEBF14974}" name="Revenue_reg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A2:B9" firstHeaderRow="1" firstDataRow="1" firstDataCol="1"/>
  <pivotFields count="33">
    <pivotField showAll="0"/>
    <pivotField numFmtId="14" showAll="0"/>
    <pivotField showAll="0"/>
    <pivotField numFmtId="167" showAll="0">
      <items count="22">
        <item x="11"/>
        <item x="3"/>
        <item x="9"/>
        <item x="13"/>
        <item x="14"/>
        <item x="7"/>
        <item x="1"/>
        <item x="4"/>
        <item x="6"/>
        <item x="10"/>
        <item x="18"/>
        <item x="2"/>
        <item x="0"/>
        <item x="15"/>
        <item x="5"/>
        <item x="8"/>
        <item x="12"/>
        <item x="16"/>
        <item x="20"/>
        <item x="17"/>
        <item x="19"/>
        <item t="default"/>
      </items>
    </pivotField>
    <pivotField showAll="0">
      <items count="3">
        <item x="1"/>
        <item x="0"/>
        <item t="default"/>
      </items>
    </pivotField>
    <pivotField numFmtId="164" showAll="0">
      <items count="22">
        <item x="11"/>
        <item x="3"/>
        <item x="9"/>
        <item x="13"/>
        <item x="14"/>
        <item x="7"/>
        <item x="1"/>
        <item x="4"/>
        <item x="6"/>
        <item x="10"/>
        <item x="18"/>
        <item x="2"/>
        <item x="0"/>
        <item x="15"/>
        <item x="5"/>
        <item x="8"/>
        <item x="12"/>
        <item x="16"/>
        <item x="20"/>
        <item x="17"/>
        <item x="19"/>
        <item t="default"/>
      </items>
    </pivotField>
    <pivotField showAll="0"/>
    <pivotField showAll="0"/>
    <pivotField showAll="0"/>
    <pivotField showAll="0"/>
    <pivotField axis="axisRow" showAll="0" sortType="descending">
      <items count="7">
        <item x="3"/>
        <item x="1"/>
        <item x="5"/>
        <item x="2"/>
        <item x="4"/>
        <item x="0"/>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numFmtId="165" showAll="0"/>
    <pivotField numFmtId="166" showAll="0"/>
    <pivotField numFmtId="2" showAll="0"/>
    <pivotField numFmtId="166" showAll="0"/>
    <pivotField showAll="0"/>
    <pivotField showAll="0">
      <items count="3">
        <item x="1"/>
        <item x="0"/>
        <item t="default"/>
      </items>
    </pivotField>
    <pivotField showAll="0"/>
    <pivotField showAll="0"/>
    <pivotField dataField="1" numFmtId="166" showAll="0"/>
    <pivotField numFmtId="166" showAll="0"/>
    <pivotField numFmtId="166"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10"/>
  </rowFields>
  <rowItems count="7">
    <i>
      <x v="3"/>
    </i>
    <i>
      <x v="5"/>
    </i>
    <i>
      <x/>
    </i>
    <i>
      <x v="1"/>
    </i>
    <i>
      <x v="4"/>
    </i>
    <i>
      <x v="2"/>
    </i>
    <i t="grand">
      <x/>
    </i>
  </rowItems>
  <colItems count="1">
    <i/>
  </colItems>
  <dataFields count="1">
    <dataField name="revenue_sum" fld="22" baseField="10" baseItem="3" numFmtId="44"/>
  </dataFields>
  <formats count="6">
    <format dxfId="8">
      <pivotArea dataOnly="0" labelOnly="1" outline="0" axis="axisValues" fieldPosition="0"/>
    </format>
    <format dxfId="7">
      <pivotArea outline="0" fieldPosition="0">
        <references count="1">
          <reference field="4294967294" count="1">
            <x v="0"/>
          </reference>
        </references>
      </pivotArea>
    </format>
    <format dxfId="6">
      <pivotArea field="10" type="button" dataOnly="0" labelOnly="1" outline="0" axis="axisRow" fieldPosition="0"/>
    </format>
    <format dxfId="5">
      <pivotArea outline="0" fieldPosition="0">
        <references count="1">
          <reference field="4294967294" count="1">
            <x v="0"/>
          </reference>
        </references>
      </pivotArea>
    </format>
    <format dxfId="4">
      <pivotArea outline="0" fieldPosition="0">
        <references count="1">
          <reference field="4294967294" count="1">
            <x v="0"/>
          </reference>
        </references>
      </pivotArea>
    </format>
    <format dxfId="3">
      <pivotArea dataOnly="0" labelOnly="1" fieldPosition="0">
        <references count="1">
          <reference field="10"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6DA2F9-1E30-4CAA-A5B7-3FBCD56A1A0F}" name="Revenue_tren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 year">
  <location ref="J2:K26" firstHeaderRow="1" firstDataRow="1" firstDataCol="1"/>
  <pivotFields count="33">
    <pivotField showAll="0"/>
    <pivotField numFmtId="14" showAll="0"/>
    <pivotField showAll="0"/>
    <pivotField numFmtId="167" showAll="0">
      <items count="22">
        <item x="11"/>
        <item x="3"/>
        <item x="9"/>
        <item x="13"/>
        <item x="14"/>
        <item x="7"/>
        <item x="1"/>
        <item x="4"/>
        <item x="6"/>
        <item x="10"/>
        <item x="18"/>
        <item x="2"/>
        <item x="0"/>
        <item x="15"/>
        <item x="5"/>
        <item x="8"/>
        <item x="12"/>
        <item x="16"/>
        <item x="20"/>
        <item x="17"/>
        <item x="19"/>
        <item t="default"/>
      </items>
    </pivotField>
    <pivotField showAll="0">
      <items count="3">
        <item x="1"/>
        <item x="0"/>
        <item t="default"/>
      </items>
    </pivotField>
    <pivotField numFmtId="164" showAll="0">
      <items count="22">
        <item x="11"/>
        <item x="3"/>
        <item x="9"/>
        <item x="13"/>
        <item x="14"/>
        <item x="7"/>
        <item x="1"/>
        <item x="4"/>
        <item x="6"/>
        <item x="10"/>
        <item x="18"/>
        <item x="2"/>
        <item x="0"/>
        <item x="15"/>
        <item x="5"/>
        <item x="8"/>
        <item x="12"/>
        <item x="16"/>
        <item x="20"/>
        <item x="17"/>
        <item x="19"/>
        <item t="default"/>
      </items>
    </pivotField>
    <pivotField showAll="0"/>
    <pivotField showAll="0"/>
    <pivotField showAll="0"/>
    <pivotField showAll="0"/>
    <pivotField showAll="0">
      <items count="7">
        <item x="3"/>
        <item x="1"/>
        <item x="5"/>
        <item x="2"/>
        <item x="4"/>
        <item x="0"/>
        <item t="default"/>
      </items>
    </pivotField>
    <pivotField showAll="0"/>
    <pivotField showAll="0">
      <items count="4">
        <item x="2"/>
        <item x="1"/>
        <item x="0"/>
        <item t="default"/>
      </items>
    </pivotField>
    <pivotField showAll="0"/>
    <pivotField numFmtId="165" showAll="0"/>
    <pivotField numFmtId="166" showAll="0"/>
    <pivotField numFmtId="2" showAll="0"/>
    <pivotField numFmtId="166" showAll="0"/>
    <pivotField showAll="0"/>
    <pivotField showAll="0">
      <items count="3">
        <item x="1"/>
        <item x="0"/>
        <item t="default"/>
      </items>
    </pivotField>
    <pivotField showAll="0"/>
    <pivotField showAll="0"/>
    <pivotField dataField="1" numFmtId="166" showAll="0"/>
    <pivotField numFmtId="166" showAll="0"/>
    <pivotField numFmtId="166"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 dragToRow="0" dragToCol="0" dragToPage="0" showAll="0" defaultSubtotal="0"/>
  </pivotFields>
  <rowFields count="2">
    <field x="28"/>
    <field x="26"/>
  </rowFields>
  <rowItems count="24">
    <i>
      <x v="1"/>
    </i>
    <i r="1">
      <x v="1"/>
    </i>
    <i r="1">
      <x v="2"/>
    </i>
    <i r="1">
      <x v="3"/>
    </i>
    <i r="1">
      <x v="4"/>
    </i>
    <i r="1">
      <x v="5"/>
    </i>
    <i r="1">
      <x v="6"/>
    </i>
    <i r="1">
      <x v="7"/>
    </i>
    <i r="1">
      <x v="8"/>
    </i>
    <i r="1">
      <x v="9"/>
    </i>
    <i r="1">
      <x v="10"/>
    </i>
    <i r="1">
      <x v="11"/>
    </i>
    <i r="1">
      <x v="12"/>
    </i>
    <i>
      <x v="2"/>
    </i>
    <i r="1">
      <x v="1"/>
    </i>
    <i r="1">
      <x v="2"/>
    </i>
    <i r="1">
      <x v="3"/>
    </i>
    <i r="1">
      <x v="4"/>
    </i>
    <i r="1">
      <x v="5"/>
    </i>
    <i r="1">
      <x v="6"/>
    </i>
    <i r="1">
      <x v="10"/>
    </i>
    <i r="1">
      <x v="11"/>
    </i>
    <i r="1">
      <x v="12"/>
    </i>
    <i t="grand">
      <x/>
    </i>
  </rowItems>
  <colItems count="1">
    <i/>
  </colItems>
  <dataFields count="1">
    <dataField name="Sum of revenue " fld="22" baseField="31" baseItem="1" numFmtId="4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0A9713-83D0-4B5E-BB4B-A53AF1C0801C}" name="sum_revenu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0:A71" firstHeaderRow="1" firstDataRow="1" firstDataCol="0"/>
  <pivotFields count="33">
    <pivotField showAll="0"/>
    <pivotField numFmtId="14" showAll="0"/>
    <pivotField showAll="0"/>
    <pivotField numFmtId="167" showAll="0">
      <items count="22">
        <item x="11"/>
        <item x="3"/>
        <item x="9"/>
        <item x="13"/>
        <item x="14"/>
        <item x="7"/>
        <item x="1"/>
        <item x="4"/>
        <item x="6"/>
        <item x="10"/>
        <item x="18"/>
        <item x="2"/>
        <item x="0"/>
        <item x="15"/>
        <item x="5"/>
        <item x="8"/>
        <item x="12"/>
        <item x="16"/>
        <item x="20"/>
        <item x="17"/>
        <item x="19"/>
        <item t="default"/>
      </items>
    </pivotField>
    <pivotField showAll="0">
      <items count="3">
        <item x="1"/>
        <item x="0"/>
        <item t="default"/>
      </items>
    </pivotField>
    <pivotField numFmtId="164" showAll="0">
      <items count="22">
        <item x="11"/>
        <item x="3"/>
        <item x="9"/>
        <item x="13"/>
        <item x="14"/>
        <item x="7"/>
        <item x="1"/>
        <item x="4"/>
        <item x="6"/>
        <item x="10"/>
        <item x="18"/>
        <item x="2"/>
        <item x="0"/>
        <item x="15"/>
        <item x="5"/>
        <item x="8"/>
        <item x="12"/>
        <item x="16"/>
        <item x="20"/>
        <item x="17"/>
        <item x="19"/>
        <item t="default"/>
      </items>
    </pivotField>
    <pivotField showAll="0"/>
    <pivotField showAll="0"/>
    <pivotField showAll="0"/>
    <pivotField showAll="0"/>
    <pivotField showAll="0">
      <items count="7">
        <item x="3"/>
        <item x="1"/>
        <item x="5"/>
        <item x="2"/>
        <item x="4"/>
        <item x="0"/>
        <item t="default"/>
      </items>
    </pivotField>
    <pivotField showAll="0"/>
    <pivotField showAll="0">
      <items count="4">
        <item x="2"/>
        <item x="1"/>
        <item x="0"/>
        <item t="default"/>
      </items>
    </pivotField>
    <pivotField showAll="0"/>
    <pivotField numFmtId="165" showAll="0"/>
    <pivotField numFmtId="166" showAll="0"/>
    <pivotField numFmtId="2" showAll="0"/>
    <pivotField numFmtId="166" showAll="0"/>
    <pivotField showAll="0"/>
    <pivotField showAll="0">
      <items count="3">
        <item x="1"/>
        <item x="0"/>
        <item t="default"/>
      </items>
    </pivotField>
    <pivotField showAll="0"/>
    <pivotField showAll="0"/>
    <pivotField dataField="1" numFmtId="166" showAll="0"/>
    <pivotField numFmtId="166" showAll="0"/>
    <pivotField numFmtId="166"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dragToRow="0" dragToCol="0" dragToPage="0" showAll="0" defaultSubtotal="0"/>
  </pivotFields>
  <rowItems count="1">
    <i/>
  </rowItems>
  <colItems count="1">
    <i/>
  </colItems>
  <dataFields count="1">
    <dataField name="Sum of revenue " fld="22" baseField="0" baseItem="0" numFmtId="168"/>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4F5DF1-8B13-4FBA-947E-1A91F5D69E5E}" name="order_id_coun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1:A92" firstHeaderRow="1" firstDataRow="1" firstDataCol="0"/>
  <pivotFields count="33">
    <pivotField dataField="1" showAll="0"/>
    <pivotField numFmtId="14" showAll="0"/>
    <pivotField showAll="0"/>
    <pivotField numFmtId="167" showAll="0">
      <items count="22">
        <item x="11"/>
        <item x="3"/>
        <item x="9"/>
        <item x="13"/>
        <item x="14"/>
        <item x="7"/>
        <item x="1"/>
        <item x="4"/>
        <item x="6"/>
        <item x="10"/>
        <item x="18"/>
        <item x="2"/>
        <item x="0"/>
        <item x="15"/>
        <item x="5"/>
        <item x="8"/>
        <item x="12"/>
        <item x="16"/>
        <item x="20"/>
        <item x="17"/>
        <item x="19"/>
        <item t="default"/>
      </items>
    </pivotField>
    <pivotField showAll="0">
      <items count="3">
        <item x="1"/>
        <item x="0"/>
        <item t="default"/>
      </items>
    </pivotField>
    <pivotField numFmtId="164" showAll="0">
      <items count="22">
        <item x="11"/>
        <item x="3"/>
        <item x="9"/>
        <item x="13"/>
        <item x="14"/>
        <item x="7"/>
        <item x="1"/>
        <item x="4"/>
        <item x="6"/>
        <item x="10"/>
        <item x="18"/>
        <item x="2"/>
        <item x="0"/>
        <item x="15"/>
        <item x="5"/>
        <item x="8"/>
        <item x="12"/>
        <item x="16"/>
        <item x="20"/>
        <item x="17"/>
        <item x="19"/>
        <item t="default"/>
      </items>
    </pivotField>
    <pivotField showAll="0"/>
    <pivotField showAll="0"/>
    <pivotField showAll="0"/>
    <pivotField showAll="0"/>
    <pivotField showAll="0">
      <items count="7">
        <item x="3"/>
        <item x="1"/>
        <item x="5"/>
        <item x="2"/>
        <item x="4"/>
        <item x="0"/>
        <item t="default"/>
      </items>
    </pivotField>
    <pivotField showAll="0"/>
    <pivotField showAll="0">
      <items count="4">
        <item x="2"/>
        <item x="1"/>
        <item x="0"/>
        <item t="default"/>
      </items>
    </pivotField>
    <pivotField showAll="0"/>
    <pivotField numFmtId="165" showAll="0"/>
    <pivotField numFmtId="166" showAll="0"/>
    <pivotField numFmtId="2" showAll="0"/>
    <pivotField numFmtId="166" showAll="0"/>
    <pivotField showAll="0"/>
    <pivotField showAll="0">
      <items count="3">
        <item x="1"/>
        <item x="0"/>
        <item t="default"/>
      </items>
    </pivotField>
    <pivotField showAll="0"/>
    <pivotField showAll="0"/>
    <pivotField numFmtId="166" showAll="0"/>
    <pivotField numFmtId="166" showAll="0"/>
    <pivotField numFmtId="166"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dragToRow="0" dragToCol="0" dragToPage="0" showAll="0" defaultSubtotal="0"/>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7A4025-D074-4985-8260-DBEE3CBD0361}" name="Profit_margi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4:C85" firstHeaderRow="0" firstDataRow="1" firstDataCol="0"/>
  <pivotFields count="33">
    <pivotField showAll="0"/>
    <pivotField numFmtId="14" showAll="0"/>
    <pivotField showAll="0"/>
    <pivotField numFmtId="167" showAll="0">
      <items count="22">
        <item x="11"/>
        <item x="3"/>
        <item x="9"/>
        <item x="13"/>
        <item x="14"/>
        <item x="7"/>
        <item x="1"/>
        <item x="4"/>
        <item x="6"/>
        <item x="10"/>
        <item x="18"/>
        <item x="2"/>
        <item x="0"/>
        <item x="15"/>
        <item x="5"/>
        <item x="8"/>
        <item x="12"/>
        <item x="16"/>
        <item x="20"/>
        <item x="17"/>
        <item x="19"/>
        <item t="default"/>
      </items>
    </pivotField>
    <pivotField showAll="0">
      <items count="3">
        <item x="1"/>
        <item x="0"/>
        <item t="default"/>
      </items>
    </pivotField>
    <pivotField numFmtId="164" showAll="0">
      <items count="22">
        <item x="11"/>
        <item x="3"/>
        <item x="9"/>
        <item x="13"/>
        <item x="14"/>
        <item x="7"/>
        <item x="1"/>
        <item x="4"/>
        <item x="6"/>
        <item x="10"/>
        <item x="18"/>
        <item x="2"/>
        <item x="0"/>
        <item x="15"/>
        <item x="5"/>
        <item x="8"/>
        <item x="12"/>
        <item x="16"/>
        <item x="20"/>
        <item x="17"/>
        <item x="19"/>
        <item t="default"/>
      </items>
    </pivotField>
    <pivotField showAll="0"/>
    <pivotField showAll="0"/>
    <pivotField showAll="0"/>
    <pivotField showAll="0"/>
    <pivotField showAll="0">
      <items count="7">
        <item x="3"/>
        <item x="1"/>
        <item x="5"/>
        <item x="2"/>
        <item x="4"/>
        <item x="0"/>
        <item t="default"/>
      </items>
    </pivotField>
    <pivotField showAll="0"/>
    <pivotField showAll="0">
      <items count="4">
        <item x="2"/>
        <item x="1"/>
        <item x="0"/>
        <item t="default"/>
      </items>
    </pivotField>
    <pivotField showAll="0"/>
    <pivotField numFmtId="165" showAll="0"/>
    <pivotField numFmtId="166" showAll="0"/>
    <pivotField numFmtId="2" showAll="0"/>
    <pivotField numFmtId="166" showAll="0"/>
    <pivotField showAll="0"/>
    <pivotField showAll="0">
      <items count="3">
        <item x="1"/>
        <item x="0"/>
        <item t="default"/>
      </items>
    </pivotField>
    <pivotField showAll="0"/>
    <pivotField showAll="0"/>
    <pivotField dataField="1" numFmtId="166" showAll="0"/>
    <pivotField numFmtId="166" showAll="0"/>
    <pivotField dataField="1" numFmtId="166"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dataField="1" dragToRow="0" dragToCol="0" dragToPage="0" showAll="0" defaultSubtotal="0"/>
  </pivotFields>
  <rowItems count="1">
    <i/>
  </rowItems>
  <colFields count="1">
    <field x="-2"/>
  </colFields>
  <colItems count="3">
    <i>
      <x/>
    </i>
    <i i="1">
      <x v="1"/>
    </i>
    <i i="2">
      <x v="2"/>
    </i>
  </colItems>
  <dataFields count="3">
    <dataField name="Sum of profit" fld="24" baseField="0" baseItem="0" numFmtId="44"/>
    <dataField name="Sum of revenue " fld="22" baseField="0" baseItem="0" numFmtId="44"/>
    <dataField name="Sum of Profit Margin" fld="32" baseField="0" baseItem="0" numFmtId="10"/>
  </dataFields>
  <formats count="3">
    <format dxfId="12">
      <pivotArea outline="0" collapsedLevelsAreSubtotals="1" fieldPosition="0">
        <references count="1">
          <reference field="4294967294" count="1" selected="0">
            <x v="2"/>
          </reference>
        </references>
      </pivotArea>
    </format>
    <format dxfId="11">
      <pivotArea outline="0" collapsedLevelsAreSubtotals="1" fieldPosition="0">
        <references count="1">
          <reference field="4294967294" count="1" selected="0">
            <x v="1"/>
          </reference>
        </references>
      </pivotArea>
    </format>
    <format dxfId="1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D7E9F8-0847-4142-8BEF-E94A2CDCA67B}" name="Order_distribu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order_status" fieldListSortAscending="1">
  <location ref="J34:K37" firstHeaderRow="1" firstDataRow="1" firstDataCol="1"/>
  <pivotFields count="33">
    <pivotField showAll="0"/>
    <pivotField numFmtId="14" showAll="0"/>
    <pivotField showAll="0"/>
    <pivotField numFmtId="167" showAll="0">
      <items count="22">
        <item x="11"/>
        <item x="3"/>
        <item x="9"/>
        <item x="13"/>
        <item x="14"/>
        <item x="7"/>
        <item x="1"/>
        <item x="4"/>
        <item x="6"/>
        <item x="10"/>
        <item x="18"/>
        <item x="2"/>
        <item x="0"/>
        <item x="15"/>
        <item x="5"/>
        <item x="8"/>
        <item x="12"/>
        <item x="16"/>
        <item x="20"/>
        <item x="17"/>
        <item x="19"/>
        <item t="default"/>
      </items>
    </pivotField>
    <pivotField showAll="0"/>
    <pivotField numFmtId="164" showAll="0">
      <items count="22">
        <item x="11"/>
        <item x="3"/>
        <item x="9"/>
        <item x="13"/>
        <item x="14"/>
        <item x="7"/>
        <item x="1"/>
        <item x="4"/>
        <item x="6"/>
        <item x="10"/>
        <item x="18"/>
        <item x="2"/>
        <item x="0"/>
        <item x="15"/>
        <item x="5"/>
        <item x="8"/>
        <item x="12"/>
        <item x="16"/>
        <item x="20"/>
        <item x="17"/>
        <item x="19"/>
        <item t="default"/>
      </items>
    </pivotField>
    <pivotField showAll="0"/>
    <pivotField showAll="0"/>
    <pivotField showAll="0"/>
    <pivotField showAll="0"/>
    <pivotField showAll="0"/>
    <pivotField showAll="0"/>
    <pivotField showAll="0"/>
    <pivotField showAll="0"/>
    <pivotField numFmtId="165" showAll="0"/>
    <pivotField numFmtId="166" showAll="0"/>
    <pivotField numFmtId="2" showAll="0"/>
    <pivotField numFmtId="166" showAll="0"/>
    <pivotField showAll="0"/>
    <pivotField axis="axisRow" dataField="1"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numFmtId="166" showAll="0"/>
    <pivotField numFmtId="166" showAll="0"/>
    <pivotField numFmtId="166"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19"/>
  </rowFields>
  <rowItems count="3">
    <i>
      <x v="1"/>
    </i>
    <i>
      <x/>
    </i>
    <i t="grand">
      <x/>
    </i>
  </rowItems>
  <colItems count="1">
    <i/>
  </colItems>
  <dataFields count="1">
    <dataField name="Count" fld="19" subtotal="count" baseField="19" baseItem="1"/>
  </dataFields>
  <chartFormats count="3">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9" count="1" selected="0">
            <x v="1"/>
          </reference>
        </references>
      </pivotArea>
    </chartFormat>
    <chartFormat chart="3" format="2">
      <pivotArea type="data" outline="0" fieldPosition="0">
        <references count="2">
          <reference field="4294967294" count="1" selected="0">
            <x v="0"/>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B176E2-C97B-46D9-9F0D-6F3ACC1C38EF}" name="Total_quantit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9:A110" firstHeaderRow="1" firstDataRow="1" firstDataCol="0"/>
  <pivotFields count="33">
    <pivotField showAll="0"/>
    <pivotField numFmtId="14" showAll="0"/>
    <pivotField showAll="0"/>
    <pivotField numFmtId="167" showAll="0">
      <items count="22">
        <item x="11"/>
        <item x="3"/>
        <item x="9"/>
        <item x="13"/>
        <item x="14"/>
        <item x="7"/>
        <item x="1"/>
        <item x="4"/>
        <item x="6"/>
        <item x="10"/>
        <item x="18"/>
        <item x="2"/>
        <item x="0"/>
        <item x="15"/>
        <item x="5"/>
        <item x="8"/>
        <item x="12"/>
        <item x="16"/>
        <item x="20"/>
        <item x="17"/>
        <item x="19"/>
        <item t="default"/>
      </items>
    </pivotField>
    <pivotField showAll="0">
      <items count="3">
        <item x="1"/>
        <item x="0"/>
        <item t="default"/>
      </items>
    </pivotField>
    <pivotField numFmtId="164" showAll="0">
      <items count="22">
        <item x="11"/>
        <item x="3"/>
        <item x="9"/>
        <item x="13"/>
        <item x="14"/>
        <item x="7"/>
        <item x="1"/>
        <item x="4"/>
        <item x="6"/>
        <item x="10"/>
        <item x="18"/>
        <item x="2"/>
        <item x="0"/>
        <item x="15"/>
        <item x="5"/>
        <item x="8"/>
        <item x="12"/>
        <item x="16"/>
        <item x="20"/>
        <item x="17"/>
        <item x="19"/>
        <item t="default"/>
      </items>
    </pivotField>
    <pivotField showAll="0"/>
    <pivotField showAll="0"/>
    <pivotField showAll="0"/>
    <pivotField showAll="0"/>
    <pivotField showAll="0">
      <items count="7">
        <item x="3"/>
        <item x="1"/>
        <item x="5"/>
        <item x="2"/>
        <item x="4"/>
        <item x="0"/>
        <item t="default"/>
      </items>
    </pivotField>
    <pivotField showAll="0"/>
    <pivotField showAll="0">
      <items count="4">
        <item x="2"/>
        <item x="1"/>
        <item x="0"/>
        <item t="default"/>
      </items>
    </pivotField>
    <pivotField showAll="0"/>
    <pivotField dataField="1" numFmtId="165" showAll="0"/>
    <pivotField numFmtId="166" showAll="0"/>
    <pivotField numFmtId="2" showAll="0"/>
    <pivotField numFmtId="166" showAll="0"/>
    <pivotField showAll="0"/>
    <pivotField showAll="0">
      <items count="3">
        <item x="1"/>
        <item x="0"/>
        <item t="default"/>
      </items>
    </pivotField>
    <pivotField showAll="0"/>
    <pivotField showAll="0"/>
    <pivotField numFmtId="166" showAll="0"/>
    <pivotField numFmtId="166" showAll="0"/>
    <pivotField numFmtId="166"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dragToRow="0" dragToCol="0" dragToPage="0" showAll="0" defaultSubtotal="0"/>
  </pivotFields>
  <rowItems count="1">
    <i/>
  </rowItems>
  <colItems count="1">
    <i/>
  </colItems>
  <dataFields count="1">
    <dataField name="Sum of Quantity"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AB7EDC-0C57-4AC9-82F6-BF8BA8CCC8E1}" name="customer_tot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1:A102" firstHeaderRow="1" firstDataRow="1" firstDataCol="0" rowPageCount="1" colPageCount="1"/>
  <pivotFields count="2">
    <pivotField axis="axisPage" allDrilled="1" subtotalTop="0" showAll="0" dataSourceSort="1" defaultSubtotal="0" defaultAttributeDrillState="1"/>
    <pivotField dataField="1" subtotalTop="0" showAll="0" defaultSubtotal="0"/>
  </pivotFields>
  <rowItems count="1">
    <i/>
  </rowItems>
  <colItems count="1">
    <i/>
  </colItems>
  <pageFields count="1">
    <pageField fld="0" hier="6" name="[Range].[Customer_ID].&amp;[CUST1000]" cap="CUST1000"/>
  </pageFields>
  <dataFields count="1">
    <dataField name="Distinct Count of Customer_ID" fld="1" subtotal="count" baseField="0" baseItem="0">
      <extLst>
        <ext xmlns:x15="http://schemas.microsoft.com/office/spreadsheetml/2010/11/main" uri="{FABC7310-3BB5-11E1-824E-6D434824019B}">
          <x15:dataField isCountDistinct="1"/>
        </ext>
      </extLst>
    </dataField>
  </dataFields>
  <pivotHierarchies count="30">
    <pivotHierarchy dragToData="1"/>
    <pivotHierarchy dragToData="1"/>
    <pivotHierarchy dragToData="1"/>
    <pivotHierarchy dragToData="1"/>
    <pivotHierarchy dragToData="1"/>
    <pivotHierarchy dragToData="1"/>
    <pivotHierarchy multipleItemSelectionAllowed="1" dragToData="1">
      <members count="87" level="1">
        <member name="[Range].[Customer_ID].&amp;[CUST1000]"/>
        <member name="[Range].[Customer_ID].&amp;[CUST1001]"/>
        <member name="[Range].[Customer_ID].&amp;[CUST1003]"/>
        <member name="[Range].[Customer_ID].&amp;[CUST1004]"/>
        <member name="[Range].[Customer_ID].&amp;[CUST1005]"/>
        <member name="[Range].[Customer_ID].&amp;[CUST1006]"/>
        <member name="[Range].[Customer_ID].&amp;[CUST1007]"/>
        <member name="[Range].[Customer_ID].&amp;[CUST1008]"/>
        <member name="[Range].[Customer_ID].&amp;[CUST1009]"/>
        <member name="[Range].[Customer_ID].&amp;[CUST1010]"/>
        <member name="[Range].[Customer_ID].&amp;[CUST1011]"/>
        <member name="[Range].[Customer_ID].&amp;[CUST1012]"/>
        <member name="[Range].[Customer_ID].&amp;[CUST1014]"/>
        <member name="[Range].[Customer_ID].&amp;[CUST1015]"/>
        <member name="[Range].[Customer_ID].&amp;[CUST1016]"/>
        <member name="[Range].[Customer_ID].&amp;[CUST1017]"/>
        <member name="[Range].[Customer_ID].&amp;[CUST1018]"/>
        <member name="[Range].[Customer_ID].&amp;[CUST1020]"/>
        <member name="[Range].[Customer_ID].&amp;[CUST1021]"/>
        <member name="[Range].[Customer_ID].&amp;[CUST1022]"/>
        <member name="[Range].[Customer_ID].&amp;[CUST1023]"/>
        <member name="[Range].[Customer_ID].&amp;[CUST1024]"/>
        <member name="[Range].[Customer_ID].&amp;[CUST1026]"/>
        <member name="[Range].[Customer_ID].&amp;[CUST1027]"/>
        <member name="[Range].[Customer_ID].&amp;[CUST1028]"/>
        <member name="[Range].[Customer_ID].&amp;[CUST1030]"/>
        <member name="[Range].[Customer_ID].&amp;[CUST1031]"/>
        <member name="[Range].[Customer_ID].&amp;[CUST1032]"/>
        <member name="[Range].[Customer_ID].&amp;[CUST1033]"/>
        <member name="[Range].[Customer_ID].&amp;[CUST1034]"/>
        <member name="[Range].[Customer_ID].&amp;[CUST1035]"/>
        <member name="[Range].[Customer_ID].&amp;[CUST1036]"/>
        <member name="[Range].[Customer_ID].&amp;[CUST1037]"/>
        <member name="[Range].[Customer_ID].&amp;[CUST1038]"/>
        <member name="[Range].[Customer_ID].&amp;[CUST1040]"/>
        <member name="[Range].[Customer_ID].&amp;[CUST1041]"/>
        <member name="[Range].[Customer_ID].&amp;[CUST1042]"/>
        <member name="[Range].[Customer_ID].&amp;[CUST1043]"/>
        <member name="[Range].[Customer_ID].&amp;[CUST1045]"/>
        <member name="[Range].[Customer_ID].&amp;[CUST1046]"/>
        <member name="[Range].[Customer_ID].&amp;[CUST1047]"/>
        <member name="[Range].[Customer_ID].&amp;[CUST1048]"/>
        <member name="[Range].[Customer_ID].&amp;[CUST1049]"/>
        <member name="[Range].[Customer_ID].&amp;[CUST1050]"/>
        <member name="[Range].[Customer_ID].&amp;[CUST1052]"/>
        <member name="[Range].[Customer_ID].&amp;[CUST1053]"/>
        <member name="[Range].[Customer_ID].&amp;[CUST1054]"/>
        <member name="[Range].[Customer_ID].&amp;[CUST1056]"/>
        <member name="[Range].[Customer_ID].&amp;[CUST1057]"/>
        <member name="[Range].[Customer_ID].&amp;[CUST1058]"/>
        <member name="[Range].[Customer_ID].&amp;[CUST1059]"/>
        <member name="[Range].[Customer_ID].&amp;[CUST1060]"/>
        <member name="[Range].[Customer_ID].&amp;[CUST1061]"/>
        <member name="[Range].[Customer_ID].&amp;[CUST1062]"/>
        <member name="[Range].[Customer_ID].&amp;[CUST1063]"/>
        <member name="[Range].[Customer_ID].&amp;[CUST1064]"/>
        <member name="[Range].[Customer_ID].&amp;[CUST1066]"/>
        <member name="[Range].[Customer_ID].&amp;[CUST1067]"/>
        <member name="[Range].[Customer_ID].&amp;[CUST1069]"/>
        <member name="[Range].[Customer_ID].&amp;[CUST1070]"/>
        <member name="[Range].[Customer_ID].&amp;[CUST1071]"/>
        <member name="[Range].[Customer_ID].&amp;[CUST1072]"/>
        <member name="[Range].[Customer_ID].&amp;[CUST1073]"/>
        <member name="[Range].[Customer_ID].&amp;[CUST1074]"/>
        <member name="[Range].[Customer_ID].&amp;[CUST1075]"/>
        <member name="[Range].[Customer_ID].&amp;[CUST1076]"/>
        <member name="[Range].[Customer_ID].&amp;[CUST1077]"/>
        <member name="[Range].[Customer_ID].&amp;[CUST1078]"/>
        <member name="[Range].[Customer_ID].&amp;[CUST1080]"/>
        <member name="[Range].[Customer_ID].&amp;[CUST1081]"/>
        <member name="[Range].[Customer_ID].&amp;[CUST1082]"/>
        <member name="[Range].[Customer_ID].&amp;[CUST1083]"/>
        <member name="[Range].[Customer_ID].&amp;[CUST1084]"/>
        <member name="[Range].[Customer_ID].&amp;[CUST1085]"/>
        <member name="[Range].[Customer_ID].&amp;[CUST1086]"/>
        <member name="[Range].[Customer_ID].&amp;[CUST1087]"/>
        <member name="[Range].[Customer_ID].&amp;[CUST1088]"/>
        <member name="[Range].[Customer_ID].&amp;[CUST1089]"/>
        <member name="[Range].[Customer_ID].&amp;[CUST1090]"/>
        <member name="[Range].[Customer_ID].&amp;[CUST1091]"/>
        <member name="[Range].[Customer_ID].&amp;[CUST1092]"/>
        <member name="[Range].[Customer_ID].&amp;[CUST1094]"/>
        <member name="[Range].[Customer_ID].&amp;[CUST1095]"/>
        <member name="[Range].[Customer_ID].&amp;[CUST1096]"/>
        <member name="[Range].[Customer_ID].&amp;[CUST1097]"/>
        <member name="[Range].[Customer_ID].&amp;[CUST1098]"/>
        <member name="[Range].[Customer_ID].&amp;[CUST109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_sales_2!$A$1:$Z$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0A32496-2B64-4453-BD12-E49C00647BD0}" name="Revenue_catego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location ref="A16:B20" firstHeaderRow="1" firstDataRow="1" firstDataCol="1"/>
  <pivotFields count="33">
    <pivotField showAll="0"/>
    <pivotField numFmtId="14" showAll="0"/>
    <pivotField showAll="0"/>
    <pivotField numFmtId="167" showAll="0">
      <items count="22">
        <item x="11"/>
        <item x="3"/>
        <item x="9"/>
        <item x="13"/>
        <item x="14"/>
        <item x="7"/>
        <item x="1"/>
        <item x="4"/>
        <item x="6"/>
        <item x="10"/>
        <item x="18"/>
        <item x="2"/>
        <item x="0"/>
        <item x="15"/>
        <item x="5"/>
        <item x="8"/>
        <item x="12"/>
        <item x="16"/>
        <item x="20"/>
        <item x="17"/>
        <item x="19"/>
        <item t="default"/>
      </items>
    </pivotField>
    <pivotField showAll="0">
      <items count="3">
        <item x="1"/>
        <item x="0"/>
        <item t="default"/>
      </items>
    </pivotField>
    <pivotField numFmtId="164" showAll="0">
      <items count="22">
        <item x="11"/>
        <item x="3"/>
        <item x="9"/>
        <item x="13"/>
        <item x="14"/>
        <item x="7"/>
        <item x="1"/>
        <item x="4"/>
        <item x="6"/>
        <item x="10"/>
        <item x="18"/>
        <item x="2"/>
        <item x="0"/>
        <item x="15"/>
        <item x="5"/>
        <item x="8"/>
        <item x="12"/>
        <item x="16"/>
        <item x="20"/>
        <item x="17"/>
        <item x="19"/>
        <item t="default"/>
      </items>
    </pivotField>
    <pivotField showAll="0"/>
    <pivotField showAll="0"/>
    <pivotField showAll="0"/>
    <pivotField showAll="0"/>
    <pivotField showAll="0">
      <items count="7">
        <item x="3"/>
        <item x="1"/>
        <item x="5"/>
        <item x="2"/>
        <item x="4"/>
        <item x="0"/>
        <item t="default"/>
      </items>
    </pivotField>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numFmtId="165" showAll="0"/>
    <pivotField numFmtId="166" showAll="0"/>
    <pivotField numFmtId="2" showAll="0"/>
    <pivotField numFmtId="166" showAll="0"/>
    <pivotField showAll="0"/>
    <pivotField showAll="0">
      <items count="3">
        <item x="1"/>
        <item x="0"/>
        <item t="default"/>
      </items>
    </pivotField>
    <pivotField showAll="0"/>
    <pivotField showAll="0"/>
    <pivotField numFmtId="166" showAll="0"/>
    <pivotField numFmtId="166" showAll="0"/>
    <pivotField dataField="1" numFmtId="166"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12"/>
  </rowFields>
  <rowItems count="4">
    <i>
      <x v="2"/>
    </i>
    <i>
      <x v="1"/>
    </i>
    <i>
      <x/>
    </i>
    <i t="grand">
      <x/>
    </i>
  </rowItems>
  <colItems count="1">
    <i/>
  </colItems>
  <dataFields count="1">
    <dataField name="profit_sum" fld="24" baseField="12" baseItem="2" numFmtId="44"/>
  </dataFields>
  <formats count="3">
    <format dxfId="15">
      <pivotArea field="12" type="button" dataOnly="0" labelOnly="1" outline="0" axis="axisRow" fieldPosition="0"/>
    </format>
    <format dxfId="14">
      <pivotArea dataOnly="0" labelOnly="1" fieldPosition="0">
        <references count="1">
          <reference field="12" count="0"/>
        </references>
      </pivotArea>
    </format>
    <format dxfId="13">
      <pivotArea dataOnly="0" labelOnly="1" grandRow="1" outline="0"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2"/>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2" count="1" selected="0">
            <x v="2"/>
          </reference>
        </references>
      </pivotArea>
    </chartFormat>
    <chartFormat chart="7" format="10">
      <pivotArea type="data" outline="0" fieldPosition="0">
        <references count="2">
          <reference field="4294967294" count="1" selected="0">
            <x v="0"/>
          </reference>
          <reference field="12" count="1" selected="0">
            <x v="1"/>
          </reference>
        </references>
      </pivotArea>
    </chartFormat>
    <chartFormat chart="7" format="11">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73F757B-A800-43E2-A11D-4EF280A9BDF2}" name="Payment_metho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payment method">
  <location ref="A48:B53" firstHeaderRow="1" firstDataRow="1" firstDataCol="1"/>
  <pivotFields count="33">
    <pivotField showAll="0"/>
    <pivotField numFmtId="14" showAll="0"/>
    <pivotField showAll="0"/>
    <pivotField numFmtId="167" showAll="0">
      <items count="22">
        <item x="11"/>
        <item x="3"/>
        <item x="9"/>
        <item x="13"/>
        <item x="14"/>
        <item x="7"/>
        <item x="1"/>
        <item x="4"/>
        <item x="6"/>
        <item x="10"/>
        <item x="18"/>
        <item x="2"/>
        <item x="0"/>
        <item x="15"/>
        <item x="5"/>
        <item x="8"/>
        <item x="12"/>
        <item x="16"/>
        <item x="20"/>
        <item x="17"/>
        <item x="19"/>
        <item t="default"/>
      </items>
    </pivotField>
    <pivotField showAll="0"/>
    <pivotField numFmtId="164" showAll="0">
      <items count="22">
        <item x="11"/>
        <item x="3"/>
        <item x="9"/>
        <item x="13"/>
        <item x="14"/>
        <item x="7"/>
        <item x="1"/>
        <item x="4"/>
        <item x="6"/>
        <item x="10"/>
        <item x="18"/>
        <item x="2"/>
        <item x="0"/>
        <item x="15"/>
        <item x="5"/>
        <item x="8"/>
        <item x="12"/>
        <item x="16"/>
        <item x="20"/>
        <item x="17"/>
        <item x="19"/>
        <item t="default"/>
      </items>
    </pivotField>
    <pivotField showAll="0"/>
    <pivotField showAll="0"/>
    <pivotField showAll="0"/>
    <pivotField showAll="0"/>
    <pivotField showAll="0"/>
    <pivotField showAll="0"/>
    <pivotField showAll="0"/>
    <pivotField showAll="0"/>
    <pivotField numFmtId="165" showAll="0"/>
    <pivotField numFmtId="166" showAll="0"/>
    <pivotField numFmtId="2" showAll="0"/>
    <pivotField numFmtId="166" showAll="0"/>
    <pivotField axis="axisRow" dataField="1"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6" showAll="0"/>
    <pivotField numFmtId="166" showAll="0"/>
    <pivotField numFmtId="166"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18"/>
  </rowFields>
  <rowItems count="5">
    <i>
      <x v="2"/>
    </i>
    <i>
      <x/>
    </i>
    <i>
      <x v="3"/>
    </i>
    <i>
      <x v="1"/>
    </i>
    <i t="grand">
      <x/>
    </i>
  </rowItems>
  <colItems count="1">
    <i/>
  </colItems>
  <dataFields count="1">
    <dataField name="count" fld="18" subtotal="count" baseField="18" baseItem="0"/>
  </dataFields>
  <formats count="3">
    <format dxfId="18">
      <pivotArea field="18" type="button" dataOnly="0" labelOnly="1" outline="0" axis="axisRow" fieldPosition="0"/>
    </format>
    <format dxfId="17">
      <pivotArea dataOnly="0" labelOnly="1" fieldPosition="0">
        <references count="1">
          <reference field="18" count="0"/>
        </references>
      </pivotArea>
    </format>
    <format dxfId="16">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6A2C6C2-3E9F-4B7F-B238-C65B28417E55}" name="Top_customer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ustomer_id">
  <location ref="A31:B42" firstHeaderRow="1" firstDataRow="1" firstDataCol="1"/>
  <pivotFields count="33">
    <pivotField showAll="0"/>
    <pivotField numFmtId="14" showAll="0"/>
    <pivotField showAll="0"/>
    <pivotField numFmtId="167" showAll="0">
      <items count="22">
        <item x="11"/>
        <item x="3"/>
        <item x="9"/>
        <item x="13"/>
        <item x="14"/>
        <item x="7"/>
        <item x="1"/>
        <item x="4"/>
        <item x="6"/>
        <item x="10"/>
        <item x="18"/>
        <item x="2"/>
        <item x="0"/>
        <item x="15"/>
        <item x="5"/>
        <item x="8"/>
        <item x="12"/>
        <item x="16"/>
        <item x="20"/>
        <item x="17"/>
        <item x="19"/>
        <item t="default"/>
      </items>
    </pivotField>
    <pivotField showAll="0">
      <items count="3">
        <item x="1"/>
        <item x="0"/>
        <item t="default"/>
      </items>
    </pivotField>
    <pivotField numFmtId="164" showAll="0">
      <items count="22">
        <item x="11"/>
        <item x="3"/>
        <item x="9"/>
        <item x="13"/>
        <item x="14"/>
        <item x="7"/>
        <item x="1"/>
        <item x="4"/>
        <item x="6"/>
        <item x="10"/>
        <item x="18"/>
        <item x="2"/>
        <item x="0"/>
        <item x="15"/>
        <item x="5"/>
        <item x="8"/>
        <item x="12"/>
        <item x="16"/>
        <item x="20"/>
        <item x="17"/>
        <item x="19"/>
        <item t="default"/>
      </items>
    </pivotField>
    <pivotField axis="axisRow" showAll="0" measureFilter="1" sortType="descending">
      <items count="89">
        <item x="72"/>
        <item x="51"/>
        <item x="76"/>
        <item x="23"/>
        <item x="47"/>
        <item x="14"/>
        <item x="16"/>
        <item x="84"/>
        <item x="11"/>
        <item x="57"/>
        <item x="74"/>
        <item x="18"/>
        <item x="70"/>
        <item x="59"/>
        <item x="25"/>
        <item x="78"/>
        <item x="79"/>
        <item x="6"/>
        <item x="81"/>
        <item x="87"/>
        <item x="60"/>
        <item x="35"/>
        <item x="20"/>
        <item x="54"/>
        <item x="4"/>
        <item x="75"/>
        <item x="42"/>
        <item x="30"/>
        <item x="46"/>
        <item x="28"/>
        <item x="71"/>
        <item x="15"/>
        <item x="34"/>
        <item x="37"/>
        <item x="17"/>
        <item x="45"/>
        <item x="85"/>
        <item x="13"/>
        <item x="49"/>
        <item x="55"/>
        <item x="53"/>
        <item x="2"/>
        <item x="56"/>
        <item x="31"/>
        <item x="38"/>
        <item x="32"/>
        <item x="19"/>
        <item x="26"/>
        <item x="65"/>
        <item x="5"/>
        <item x="43"/>
        <item x="12"/>
        <item x="61"/>
        <item x="29"/>
        <item x="41"/>
        <item x="8"/>
        <item x="66"/>
        <item x="58"/>
        <item x="39"/>
        <item x="36"/>
        <item x="69"/>
        <item x="9"/>
        <item x="86"/>
        <item x="68"/>
        <item x="33"/>
        <item x="77"/>
        <item x="40"/>
        <item x="27"/>
        <item x="82"/>
        <item x="3"/>
        <item x="67"/>
        <item x="48"/>
        <item x="22"/>
        <item x="64"/>
        <item x="83"/>
        <item x="52"/>
        <item x="62"/>
        <item x="1"/>
        <item x="80"/>
        <item x="63"/>
        <item x="24"/>
        <item x="21"/>
        <item x="73"/>
        <item x="10"/>
        <item x="50"/>
        <item x="7"/>
        <item x="4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7">
        <item x="3"/>
        <item x="1"/>
        <item x="5"/>
        <item x="2"/>
        <item x="4"/>
        <item x="0"/>
        <item t="default"/>
      </items>
    </pivotField>
    <pivotField showAll="0"/>
    <pivotField showAll="0">
      <items count="4">
        <item x="2"/>
        <item x="1"/>
        <item x="0"/>
        <item t="default"/>
      </items>
    </pivotField>
    <pivotField showAll="0"/>
    <pivotField numFmtId="165" showAll="0"/>
    <pivotField numFmtId="166" showAll="0"/>
    <pivotField numFmtId="2" showAll="0"/>
    <pivotField numFmtId="166" showAll="0"/>
    <pivotField showAll="0"/>
    <pivotField showAll="0">
      <items count="3">
        <item x="1"/>
        <item x="0"/>
        <item t="default"/>
      </items>
    </pivotField>
    <pivotField showAll="0"/>
    <pivotField showAll="0"/>
    <pivotField dataField="1" numFmtId="166" showAll="0"/>
    <pivotField numFmtId="166" showAll="0"/>
    <pivotField numFmtId="166"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6"/>
  </rowFields>
  <rowItems count="11">
    <i>
      <x v="38"/>
    </i>
    <i>
      <x v="61"/>
    </i>
    <i>
      <x v="37"/>
    </i>
    <i>
      <x v="54"/>
    </i>
    <i>
      <x v="64"/>
    </i>
    <i>
      <x v="24"/>
    </i>
    <i>
      <x v="4"/>
    </i>
    <i>
      <x v="69"/>
    </i>
    <i>
      <x v="70"/>
    </i>
    <i>
      <x v="85"/>
    </i>
    <i t="grand">
      <x/>
    </i>
  </rowItems>
  <colItems count="1">
    <i/>
  </colItems>
  <dataFields count="1">
    <dataField name="revenue_sum" fld="22" baseField="6" baseItem="38" numFmtId="44"/>
  </dataFields>
  <formats count="3">
    <format dxfId="21">
      <pivotArea field="6" type="button" dataOnly="0" labelOnly="1" outline="0" axis="axisRow" fieldPosition="0"/>
    </format>
    <format dxfId="20">
      <pivotArea dataOnly="0" labelOnly="1" fieldPosition="0">
        <references count="1">
          <reference field="6" count="10">
            <x v="4"/>
            <x v="24"/>
            <x v="37"/>
            <x v="38"/>
            <x v="54"/>
            <x v="61"/>
            <x v="64"/>
            <x v="69"/>
            <x v="70"/>
            <x v="85"/>
          </reference>
        </references>
      </pivotArea>
    </format>
    <format dxfId="19">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_clean" xr10:uid="{E2073399-F991-473B-9671-00131F2D9E42}" sourceName="region_ clean">
  <pivotTables>
    <pivotTable tabId="17" name="Top_customers"/>
    <pivotTable tabId="17" name="order_id_count"/>
    <pivotTable tabId="17" name="Profit_margin"/>
    <pivotTable tabId="17" name="Profit_total"/>
    <pivotTable tabId="17" name="Revenue_category"/>
    <pivotTable tabId="17" name="Revenue_region"/>
    <pivotTable tabId="17" name="Revenue_trend"/>
    <pivotTable tabId="17" name="sum_revenue"/>
    <pivotTable tabId="17" name="Total_quantity"/>
  </pivotTables>
  <data>
    <tabular pivotCacheId="508796312">
      <items count="6">
        <i x="3" s="1"/>
        <i x="1" s="1"/>
        <i x="5"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_clean" xr10:uid="{9CD9E5EE-D0B8-43EC-BDB2-036AC7323CFA}" sourceName="product_category_clean">
  <pivotTables>
    <pivotTable tabId="17" name="Revenue_trend"/>
    <pivotTable tabId="17" name="order_id_count"/>
    <pivotTable tabId="17" name="Profit_margin"/>
    <pivotTable tabId="17" name="Profit_total"/>
    <pivotTable tabId="17" name="Revenue_category"/>
    <pivotTable tabId="17" name="Revenue_region"/>
    <pivotTable tabId="17" name="sum_revenue"/>
    <pivotTable tabId="17" name="Top_customers"/>
    <pivotTable tabId="17" name="Total_quantity"/>
  </pivotTables>
  <data>
    <tabular pivotCacheId="50879631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_clean" xr10:uid="{DF687016-A147-4567-9785-4AB86232CCD4}" sourceName="order_status_clean">
  <pivotTables>
    <pivotTable tabId="17" name="Top_customers"/>
    <pivotTable tabId="17" name="order_id_count"/>
    <pivotTable tabId="17" name="Profit_margin"/>
    <pivotTable tabId="17" name="Profit_total"/>
    <pivotTable tabId="17" name="Revenue_category"/>
    <pivotTable tabId="17" name="Revenue_region"/>
    <pivotTable tabId="17" name="Revenue_trend"/>
    <pivotTable tabId="17" name="sum_revenue"/>
    <pivotTable tabId="17" name="Total_quantity"/>
  </pivotTables>
  <data>
    <tabular pivotCacheId="50879631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D2DCF1A-6BCD-4FBC-934B-85EC7E23A0E9}" sourceName="year">
  <pivotTables>
    <pivotTable tabId="17" name="Revenue_trend"/>
    <pivotTable tabId="17" name="order_id_count"/>
    <pivotTable tabId="17" name="Profit_margin"/>
    <pivotTable tabId="17" name="Profit_total"/>
    <pivotTable tabId="17" name="Revenue_category"/>
    <pivotTable tabId="17" name="Revenue_region"/>
    <pivotTable tabId="17" name="sum_revenue"/>
    <pivotTable tabId="17" name="Top_customers"/>
    <pivotTable tabId="17" name="Total_quantity"/>
  </pivotTables>
  <data>
    <tabular pivotCacheId="50879631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_ clean" xr10:uid="{660ACB83-8B09-4F64-8CC7-8DB42B447DEF}" cache="Slicer_region__clean" caption="Region" rowHeight="241300"/>
  <slicer name="product_category_clean" xr10:uid="{DF0AAC63-A885-4860-9392-3B403D7958FE}" cache="Slicer_product_category_clean" caption="P. Category" rowHeight="241300"/>
  <slicer name="order_status_clean" xr10:uid="{FE13C028-49E9-45A2-AD7B-92497CC31320}" cache="Slicer_order_status_clean" caption="order_status" rowHeight="241300"/>
  <slicer name="year" xr10:uid="{40E2EF2B-2D42-4509-89EB-8D9380075069}" cache="Slicer_year" caption="yea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9E48D-9852-4B36-92C2-62F8C58F8532}">
  <dimension ref="A1:N211"/>
  <sheetViews>
    <sheetView workbookViewId="0">
      <selection activeCell="D19" sqref="D19"/>
    </sheetView>
  </sheetViews>
  <sheetFormatPr defaultRowHeight="14.5" x14ac:dyDescent="0.35"/>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s">
        <v>15</v>
      </c>
      <c r="D2" t="s">
        <v>16</v>
      </c>
      <c r="E2" t="s">
        <v>17</v>
      </c>
      <c r="F2" t="s">
        <v>18</v>
      </c>
      <c r="G2" t="s">
        <v>19</v>
      </c>
      <c r="H2" t="s">
        <v>20</v>
      </c>
      <c r="I2">
        <v>4</v>
      </c>
      <c r="J2">
        <v>158.22999999999999</v>
      </c>
      <c r="K2" t="s">
        <v>21</v>
      </c>
      <c r="L2">
        <v>546.28</v>
      </c>
      <c r="M2" t="s">
        <v>22</v>
      </c>
      <c r="N2" t="s">
        <v>23</v>
      </c>
    </row>
    <row r="3" spans="1:14" x14ac:dyDescent="0.35">
      <c r="A3" t="s">
        <v>24</v>
      </c>
      <c r="B3" t="s">
        <v>25</v>
      </c>
      <c r="C3" t="s">
        <v>26</v>
      </c>
      <c r="D3" t="s">
        <v>27</v>
      </c>
      <c r="E3" t="s">
        <v>18</v>
      </c>
      <c r="F3" t="s">
        <v>18</v>
      </c>
      <c r="G3" t="s">
        <v>28</v>
      </c>
      <c r="H3" t="s">
        <v>29</v>
      </c>
      <c r="I3">
        <v>4</v>
      </c>
      <c r="J3">
        <v>420.9</v>
      </c>
      <c r="K3">
        <v>0.05</v>
      </c>
      <c r="L3">
        <v>759.29</v>
      </c>
      <c r="M3" t="s">
        <v>22</v>
      </c>
      <c r="N3" t="s">
        <v>23</v>
      </c>
    </row>
    <row r="4" spans="1:14" x14ac:dyDescent="0.35">
      <c r="A4" t="s">
        <v>30</v>
      </c>
      <c r="B4" t="s">
        <v>31</v>
      </c>
      <c r="C4" t="s">
        <v>32</v>
      </c>
      <c r="D4" t="s">
        <v>33</v>
      </c>
      <c r="E4" t="s">
        <v>18</v>
      </c>
      <c r="F4" t="s">
        <v>34</v>
      </c>
      <c r="G4" t="s">
        <v>19</v>
      </c>
      <c r="H4" t="s">
        <v>20</v>
      </c>
      <c r="I4">
        <v>14</v>
      </c>
      <c r="K4">
        <v>0</v>
      </c>
      <c r="L4">
        <v>460.51</v>
      </c>
      <c r="M4" t="s">
        <v>35</v>
      </c>
      <c r="N4" t="s">
        <v>23</v>
      </c>
    </row>
    <row r="5" spans="1:14" x14ac:dyDescent="0.35">
      <c r="A5" t="s">
        <v>36</v>
      </c>
      <c r="B5" t="s">
        <v>37</v>
      </c>
      <c r="C5" t="s">
        <v>38</v>
      </c>
      <c r="D5" t="s">
        <v>39</v>
      </c>
      <c r="E5" t="s">
        <v>40</v>
      </c>
      <c r="F5" t="s">
        <v>41</v>
      </c>
      <c r="G5" t="s">
        <v>19</v>
      </c>
      <c r="H5" t="s">
        <v>20</v>
      </c>
      <c r="I5">
        <v>5</v>
      </c>
      <c r="J5">
        <v>1283.7</v>
      </c>
      <c r="K5" t="s">
        <v>42</v>
      </c>
      <c r="L5">
        <v>381.37</v>
      </c>
      <c r="M5" t="s">
        <v>35</v>
      </c>
      <c r="N5" t="s">
        <v>23</v>
      </c>
    </row>
    <row r="6" spans="1:14" x14ac:dyDescent="0.35">
      <c r="A6" t="s">
        <v>43</v>
      </c>
      <c r="B6" t="s">
        <v>44</v>
      </c>
      <c r="C6" t="s">
        <v>45</v>
      </c>
      <c r="D6" t="s">
        <v>46</v>
      </c>
      <c r="E6" t="s">
        <v>47</v>
      </c>
      <c r="F6" t="s">
        <v>18</v>
      </c>
      <c r="G6" t="s">
        <v>48</v>
      </c>
      <c r="H6" t="s">
        <v>20</v>
      </c>
      <c r="I6">
        <v>4</v>
      </c>
      <c r="J6">
        <v>572.29</v>
      </c>
      <c r="K6" t="s">
        <v>21</v>
      </c>
      <c r="L6">
        <v>640.72</v>
      </c>
      <c r="M6" t="s">
        <v>49</v>
      </c>
      <c r="N6" t="s">
        <v>23</v>
      </c>
    </row>
    <row r="7" spans="1:14" x14ac:dyDescent="0.35">
      <c r="A7" t="s">
        <v>50</v>
      </c>
      <c r="B7" t="s">
        <v>51</v>
      </c>
      <c r="C7" t="s">
        <v>52</v>
      </c>
      <c r="D7" t="s">
        <v>53</v>
      </c>
      <c r="E7" t="s">
        <v>40</v>
      </c>
      <c r="F7" t="s">
        <v>18</v>
      </c>
      <c r="G7" t="s">
        <v>54</v>
      </c>
      <c r="H7" t="s">
        <v>55</v>
      </c>
      <c r="I7">
        <v>10</v>
      </c>
      <c r="J7">
        <v>475.44</v>
      </c>
      <c r="K7">
        <v>0.2</v>
      </c>
      <c r="L7">
        <v>396.84</v>
      </c>
      <c r="M7" t="s">
        <v>35</v>
      </c>
      <c r="N7" t="s">
        <v>56</v>
      </c>
    </row>
    <row r="8" spans="1:14" x14ac:dyDescent="0.35">
      <c r="A8" t="s">
        <v>57</v>
      </c>
      <c r="B8" t="s">
        <v>58</v>
      </c>
      <c r="C8" t="s">
        <v>59</v>
      </c>
      <c r="D8" t="s">
        <v>60</v>
      </c>
      <c r="E8" t="s">
        <v>61</v>
      </c>
      <c r="F8" t="s">
        <v>62</v>
      </c>
      <c r="G8" t="s">
        <v>28</v>
      </c>
      <c r="H8" t="s">
        <v>63</v>
      </c>
      <c r="I8">
        <v>3</v>
      </c>
      <c r="K8">
        <v>0.2</v>
      </c>
      <c r="L8">
        <v>111.43</v>
      </c>
      <c r="M8" t="s">
        <v>49</v>
      </c>
      <c r="N8" t="s">
        <v>56</v>
      </c>
    </row>
    <row r="9" spans="1:14" x14ac:dyDescent="0.35">
      <c r="A9" t="s">
        <v>64</v>
      </c>
      <c r="B9" t="s">
        <v>65</v>
      </c>
      <c r="C9" t="s">
        <v>66</v>
      </c>
      <c r="D9" t="s">
        <v>67</v>
      </c>
      <c r="E9" t="s">
        <v>17</v>
      </c>
      <c r="F9" t="s">
        <v>41</v>
      </c>
      <c r="G9" t="s">
        <v>54</v>
      </c>
      <c r="H9" t="s">
        <v>68</v>
      </c>
      <c r="I9">
        <v>14</v>
      </c>
      <c r="J9">
        <v>1022.02</v>
      </c>
      <c r="K9">
        <v>0.1</v>
      </c>
      <c r="L9">
        <v>885.02</v>
      </c>
      <c r="M9" t="s">
        <v>69</v>
      </c>
      <c r="N9" t="s">
        <v>23</v>
      </c>
    </row>
    <row r="10" spans="1:14" x14ac:dyDescent="0.35">
      <c r="A10" t="s">
        <v>70</v>
      </c>
      <c r="B10" t="s">
        <v>71</v>
      </c>
      <c r="C10" t="s">
        <v>72</v>
      </c>
      <c r="D10" t="s">
        <v>73</v>
      </c>
      <c r="E10" t="s">
        <v>40</v>
      </c>
      <c r="F10" t="s">
        <v>41</v>
      </c>
      <c r="G10" t="s">
        <v>54</v>
      </c>
      <c r="H10" t="s">
        <v>74</v>
      </c>
      <c r="I10">
        <v>9</v>
      </c>
      <c r="J10">
        <v>763.98</v>
      </c>
      <c r="K10">
        <v>0.2</v>
      </c>
      <c r="L10">
        <v>626.04999999999995</v>
      </c>
      <c r="M10" t="s">
        <v>22</v>
      </c>
      <c r="N10" t="s">
        <v>23</v>
      </c>
    </row>
    <row r="11" spans="1:14" x14ac:dyDescent="0.35">
      <c r="A11" t="s">
        <v>75</v>
      </c>
      <c r="B11" t="s">
        <v>76</v>
      </c>
      <c r="C11" t="s">
        <v>77</v>
      </c>
      <c r="D11" t="s">
        <v>78</v>
      </c>
      <c r="E11" t="s">
        <v>17</v>
      </c>
      <c r="F11" t="s">
        <v>34</v>
      </c>
      <c r="G11" t="s">
        <v>28</v>
      </c>
      <c r="H11" t="s">
        <v>63</v>
      </c>
      <c r="I11">
        <v>15</v>
      </c>
      <c r="J11">
        <v>1478.06</v>
      </c>
      <c r="K11">
        <v>0.05</v>
      </c>
      <c r="L11">
        <v>240.97</v>
      </c>
      <c r="M11" t="s">
        <v>69</v>
      </c>
      <c r="N11" t="s">
        <v>23</v>
      </c>
    </row>
    <row r="12" spans="1:14" x14ac:dyDescent="0.35">
      <c r="A12" t="s">
        <v>79</v>
      </c>
      <c r="B12" t="s">
        <v>80</v>
      </c>
      <c r="C12" t="s">
        <v>81</v>
      </c>
      <c r="D12" t="s">
        <v>82</v>
      </c>
      <c r="E12" t="s">
        <v>83</v>
      </c>
      <c r="F12" t="s">
        <v>34</v>
      </c>
      <c r="G12" t="s">
        <v>28</v>
      </c>
      <c r="H12" t="s">
        <v>29</v>
      </c>
      <c r="I12">
        <v>3</v>
      </c>
      <c r="J12">
        <v>1309.29</v>
      </c>
      <c r="K12" t="s">
        <v>21</v>
      </c>
      <c r="L12">
        <v>213.37</v>
      </c>
      <c r="M12" t="s">
        <v>35</v>
      </c>
      <c r="N12" t="s">
        <v>56</v>
      </c>
    </row>
    <row r="13" spans="1:14" x14ac:dyDescent="0.35">
      <c r="A13" t="s">
        <v>84</v>
      </c>
      <c r="B13" t="s">
        <v>85</v>
      </c>
      <c r="C13" t="s">
        <v>86</v>
      </c>
      <c r="D13" t="s">
        <v>87</v>
      </c>
      <c r="E13" t="s">
        <v>47</v>
      </c>
      <c r="F13" t="s">
        <v>18</v>
      </c>
      <c r="G13" t="s">
        <v>48</v>
      </c>
      <c r="H13" t="s">
        <v>88</v>
      </c>
      <c r="I13">
        <v>4</v>
      </c>
      <c r="J13">
        <v>36.450000000000003</v>
      </c>
      <c r="K13">
        <v>0</v>
      </c>
      <c r="L13">
        <v>589.26</v>
      </c>
      <c r="M13" t="s">
        <v>49</v>
      </c>
      <c r="N13" t="s">
        <v>23</v>
      </c>
    </row>
    <row r="14" spans="1:14" x14ac:dyDescent="0.35">
      <c r="A14" t="s">
        <v>89</v>
      </c>
      <c r="B14" t="s">
        <v>90</v>
      </c>
      <c r="C14" t="s">
        <v>91</v>
      </c>
      <c r="D14" t="s">
        <v>92</v>
      </c>
      <c r="E14" t="s">
        <v>93</v>
      </c>
      <c r="F14" t="s">
        <v>94</v>
      </c>
      <c r="G14" t="s">
        <v>48</v>
      </c>
      <c r="H14" t="s">
        <v>20</v>
      </c>
      <c r="I14">
        <v>11</v>
      </c>
      <c r="J14">
        <v>811.15</v>
      </c>
      <c r="K14" t="s">
        <v>21</v>
      </c>
      <c r="L14">
        <v>882.62</v>
      </c>
      <c r="M14" t="s">
        <v>22</v>
      </c>
      <c r="N14" t="s">
        <v>23</v>
      </c>
    </row>
    <row r="15" spans="1:14" x14ac:dyDescent="0.35">
      <c r="A15" t="s">
        <v>95</v>
      </c>
      <c r="B15" t="s">
        <v>96</v>
      </c>
      <c r="C15" t="s">
        <v>97</v>
      </c>
      <c r="D15" t="s">
        <v>98</v>
      </c>
      <c r="E15" t="s">
        <v>17</v>
      </c>
      <c r="F15" t="s">
        <v>18</v>
      </c>
      <c r="G15" t="s">
        <v>19</v>
      </c>
      <c r="H15" t="s">
        <v>88</v>
      </c>
      <c r="I15">
        <v>12</v>
      </c>
      <c r="J15">
        <v>981.92</v>
      </c>
      <c r="K15">
        <v>0.2</v>
      </c>
      <c r="L15">
        <v>62.49</v>
      </c>
      <c r="M15" t="s">
        <v>22</v>
      </c>
      <c r="N15" t="s">
        <v>23</v>
      </c>
    </row>
    <row r="16" spans="1:14" x14ac:dyDescent="0.35">
      <c r="A16" t="s">
        <v>99</v>
      </c>
      <c r="B16" t="s">
        <v>100</v>
      </c>
      <c r="C16" t="s">
        <v>101</v>
      </c>
      <c r="D16" t="s">
        <v>102</v>
      </c>
      <c r="E16" t="s">
        <v>47</v>
      </c>
      <c r="F16" t="s">
        <v>103</v>
      </c>
      <c r="G16" t="s">
        <v>28</v>
      </c>
      <c r="H16" t="s">
        <v>63</v>
      </c>
      <c r="I16">
        <v>4</v>
      </c>
      <c r="J16">
        <v>117.7</v>
      </c>
      <c r="K16">
        <v>0</v>
      </c>
      <c r="L16">
        <v>856.25</v>
      </c>
      <c r="M16" t="s">
        <v>22</v>
      </c>
      <c r="N16" t="s">
        <v>23</v>
      </c>
    </row>
    <row r="17" spans="1:14" x14ac:dyDescent="0.35">
      <c r="A17" t="s">
        <v>104</v>
      </c>
      <c r="B17" t="s">
        <v>105</v>
      </c>
      <c r="C17" t="s">
        <v>106</v>
      </c>
      <c r="D17" t="s">
        <v>107</v>
      </c>
      <c r="E17" t="s">
        <v>93</v>
      </c>
      <c r="F17" t="s">
        <v>18</v>
      </c>
      <c r="G17" t="s">
        <v>54</v>
      </c>
      <c r="H17" t="s">
        <v>55</v>
      </c>
      <c r="I17">
        <v>7</v>
      </c>
      <c r="K17" t="s">
        <v>42</v>
      </c>
      <c r="L17">
        <v>391.64</v>
      </c>
      <c r="M17" t="s">
        <v>22</v>
      </c>
      <c r="N17" t="s">
        <v>23</v>
      </c>
    </row>
    <row r="18" spans="1:14" x14ac:dyDescent="0.35">
      <c r="A18" t="s">
        <v>108</v>
      </c>
      <c r="B18" t="s">
        <v>109</v>
      </c>
      <c r="C18" t="s">
        <v>110</v>
      </c>
      <c r="D18" t="s">
        <v>111</v>
      </c>
      <c r="E18" t="s">
        <v>17</v>
      </c>
      <c r="F18" t="s">
        <v>18</v>
      </c>
      <c r="G18" t="s">
        <v>112</v>
      </c>
      <c r="H18" t="s">
        <v>20</v>
      </c>
      <c r="I18">
        <v>6</v>
      </c>
      <c r="J18">
        <v>878.35</v>
      </c>
      <c r="K18">
        <v>0.05</v>
      </c>
      <c r="L18">
        <v>853.01</v>
      </c>
      <c r="M18" t="s">
        <v>49</v>
      </c>
      <c r="N18" t="s">
        <v>23</v>
      </c>
    </row>
    <row r="19" spans="1:14" x14ac:dyDescent="0.35">
      <c r="A19" t="s">
        <v>113</v>
      </c>
      <c r="B19" t="s">
        <v>114</v>
      </c>
      <c r="C19" t="s">
        <v>115</v>
      </c>
      <c r="D19" t="s">
        <v>116</v>
      </c>
      <c r="E19" t="s">
        <v>83</v>
      </c>
      <c r="F19" t="s">
        <v>34</v>
      </c>
      <c r="G19" t="s">
        <v>112</v>
      </c>
      <c r="H19" t="s">
        <v>88</v>
      </c>
      <c r="I19">
        <v>10</v>
      </c>
      <c r="J19">
        <v>930.98</v>
      </c>
      <c r="K19" t="s">
        <v>21</v>
      </c>
      <c r="L19">
        <v>584.5</v>
      </c>
      <c r="M19" t="s">
        <v>35</v>
      </c>
      <c r="N19" t="s">
        <v>23</v>
      </c>
    </row>
    <row r="20" spans="1:14" x14ac:dyDescent="0.35">
      <c r="A20" t="s">
        <v>117</v>
      </c>
      <c r="B20" t="s">
        <v>118</v>
      </c>
      <c r="C20" t="s">
        <v>119</v>
      </c>
      <c r="D20" t="s">
        <v>120</v>
      </c>
      <c r="E20" t="s">
        <v>83</v>
      </c>
      <c r="F20" t="s">
        <v>62</v>
      </c>
      <c r="G20" t="s">
        <v>48</v>
      </c>
      <c r="H20" t="s">
        <v>88</v>
      </c>
      <c r="I20">
        <v>6</v>
      </c>
      <c r="K20" t="s">
        <v>21</v>
      </c>
      <c r="L20">
        <v>621.91999999999996</v>
      </c>
      <c r="M20" t="s">
        <v>35</v>
      </c>
      <c r="N20" t="s">
        <v>23</v>
      </c>
    </row>
    <row r="21" spans="1:14" x14ac:dyDescent="0.35">
      <c r="A21" t="s">
        <v>121</v>
      </c>
      <c r="B21" t="s">
        <v>122</v>
      </c>
      <c r="D21" t="s">
        <v>123</v>
      </c>
      <c r="E21" t="s">
        <v>18</v>
      </c>
      <c r="F21" t="s">
        <v>34</v>
      </c>
      <c r="G21" t="s">
        <v>48</v>
      </c>
      <c r="H21" t="s">
        <v>20</v>
      </c>
      <c r="I21">
        <v>5</v>
      </c>
      <c r="J21">
        <v>1251.45</v>
      </c>
      <c r="K21">
        <v>0.2</v>
      </c>
      <c r="L21">
        <v>612.45000000000005</v>
      </c>
      <c r="M21" t="s">
        <v>49</v>
      </c>
      <c r="N21" t="s">
        <v>23</v>
      </c>
    </row>
    <row r="22" spans="1:14" x14ac:dyDescent="0.35">
      <c r="A22" t="s">
        <v>124</v>
      </c>
      <c r="B22" t="s">
        <v>125</v>
      </c>
      <c r="C22" t="s">
        <v>38</v>
      </c>
      <c r="D22" t="s">
        <v>126</v>
      </c>
      <c r="E22" t="s">
        <v>93</v>
      </c>
      <c r="F22" t="s">
        <v>41</v>
      </c>
      <c r="G22" t="s">
        <v>48</v>
      </c>
      <c r="H22" t="s">
        <v>20</v>
      </c>
      <c r="I22">
        <v>9</v>
      </c>
      <c r="J22">
        <v>426.23</v>
      </c>
      <c r="K22">
        <v>0.2</v>
      </c>
      <c r="L22">
        <v>344.19</v>
      </c>
      <c r="M22" t="s">
        <v>49</v>
      </c>
      <c r="N22" t="s">
        <v>23</v>
      </c>
    </row>
    <row r="23" spans="1:14" x14ac:dyDescent="0.35">
      <c r="A23" t="s">
        <v>127</v>
      </c>
      <c r="B23" t="s">
        <v>128</v>
      </c>
      <c r="C23" t="s">
        <v>129</v>
      </c>
      <c r="D23" t="s">
        <v>130</v>
      </c>
      <c r="E23" t="s">
        <v>17</v>
      </c>
      <c r="F23" t="s">
        <v>103</v>
      </c>
      <c r="G23" t="s">
        <v>54</v>
      </c>
      <c r="H23" t="s">
        <v>55</v>
      </c>
      <c r="I23">
        <v>13</v>
      </c>
      <c r="J23">
        <v>1469.8</v>
      </c>
      <c r="K23">
        <v>0.2</v>
      </c>
      <c r="L23">
        <v>442.95</v>
      </c>
      <c r="M23" t="s">
        <v>22</v>
      </c>
      <c r="N23" t="s">
        <v>23</v>
      </c>
    </row>
    <row r="24" spans="1:14" x14ac:dyDescent="0.35">
      <c r="A24" t="s">
        <v>131</v>
      </c>
      <c r="B24" t="s">
        <v>132</v>
      </c>
      <c r="C24" t="s">
        <v>133</v>
      </c>
      <c r="D24" t="s">
        <v>134</v>
      </c>
      <c r="E24" t="s">
        <v>17</v>
      </c>
      <c r="F24" t="s">
        <v>41</v>
      </c>
      <c r="G24" t="s">
        <v>48</v>
      </c>
      <c r="H24" t="s">
        <v>135</v>
      </c>
      <c r="I24">
        <v>5</v>
      </c>
      <c r="J24">
        <v>1399.97</v>
      </c>
      <c r="K24">
        <v>0.1</v>
      </c>
      <c r="L24">
        <v>41.82</v>
      </c>
      <c r="M24" t="s">
        <v>69</v>
      </c>
      <c r="N24" t="s">
        <v>23</v>
      </c>
    </row>
    <row r="25" spans="1:14" x14ac:dyDescent="0.35">
      <c r="A25" t="s">
        <v>136</v>
      </c>
      <c r="B25" t="s">
        <v>137</v>
      </c>
      <c r="C25" t="s">
        <v>138</v>
      </c>
      <c r="D25" t="s">
        <v>139</v>
      </c>
      <c r="E25" t="s">
        <v>18</v>
      </c>
      <c r="F25" t="s">
        <v>18</v>
      </c>
      <c r="G25" t="s">
        <v>112</v>
      </c>
      <c r="H25" t="s">
        <v>135</v>
      </c>
      <c r="I25">
        <v>-7</v>
      </c>
      <c r="J25">
        <v>1106.1600000000001</v>
      </c>
      <c r="K25">
        <v>0.2</v>
      </c>
      <c r="L25">
        <v>930.95</v>
      </c>
      <c r="M25" t="s">
        <v>49</v>
      </c>
      <c r="N25" t="s">
        <v>56</v>
      </c>
    </row>
    <row r="26" spans="1:14" x14ac:dyDescent="0.35">
      <c r="A26" t="s">
        <v>140</v>
      </c>
      <c r="B26" t="s">
        <v>141</v>
      </c>
      <c r="C26" t="s">
        <v>142</v>
      </c>
      <c r="D26" t="s">
        <v>143</v>
      </c>
      <c r="E26" t="s">
        <v>144</v>
      </c>
      <c r="F26" t="s">
        <v>41</v>
      </c>
      <c r="G26" t="s">
        <v>19</v>
      </c>
      <c r="H26" t="s">
        <v>88</v>
      </c>
      <c r="I26">
        <v>15</v>
      </c>
      <c r="J26">
        <v>461.26</v>
      </c>
      <c r="K26">
        <v>0</v>
      </c>
      <c r="L26">
        <v>229.14</v>
      </c>
      <c r="M26" t="s">
        <v>49</v>
      </c>
      <c r="N26" t="s">
        <v>23</v>
      </c>
    </row>
    <row r="27" spans="1:14" x14ac:dyDescent="0.35">
      <c r="A27" t="s">
        <v>145</v>
      </c>
      <c r="B27" t="s">
        <v>146</v>
      </c>
      <c r="C27" t="s">
        <v>147</v>
      </c>
      <c r="D27" t="s">
        <v>148</v>
      </c>
      <c r="E27" t="s">
        <v>61</v>
      </c>
      <c r="F27" t="s">
        <v>41</v>
      </c>
      <c r="G27" t="s">
        <v>48</v>
      </c>
      <c r="H27" t="s">
        <v>88</v>
      </c>
      <c r="I27">
        <v>1</v>
      </c>
      <c r="J27">
        <v>1455.75</v>
      </c>
      <c r="K27">
        <v>0.1</v>
      </c>
      <c r="L27">
        <v>962.61</v>
      </c>
      <c r="M27" t="s">
        <v>35</v>
      </c>
      <c r="N27" t="s">
        <v>56</v>
      </c>
    </row>
    <row r="28" spans="1:14" x14ac:dyDescent="0.35">
      <c r="A28" t="s">
        <v>149</v>
      </c>
      <c r="B28" t="s">
        <v>150</v>
      </c>
      <c r="C28" t="s">
        <v>151</v>
      </c>
      <c r="D28" t="s">
        <v>152</v>
      </c>
      <c r="E28" t="s">
        <v>83</v>
      </c>
      <c r="F28" t="s">
        <v>41</v>
      </c>
      <c r="G28" t="s">
        <v>28</v>
      </c>
      <c r="H28" t="s">
        <v>153</v>
      </c>
      <c r="I28">
        <v>-5</v>
      </c>
      <c r="J28">
        <v>656.91</v>
      </c>
      <c r="K28">
        <v>0.2</v>
      </c>
      <c r="L28">
        <v>806.9</v>
      </c>
      <c r="M28" t="s">
        <v>69</v>
      </c>
      <c r="N28" t="s">
        <v>23</v>
      </c>
    </row>
    <row r="29" spans="1:14" x14ac:dyDescent="0.35">
      <c r="A29" t="s">
        <v>154</v>
      </c>
      <c r="B29" t="s">
        <v>155</v>
      </c>
      <c r="C29" t="s">
        <v>156</v>
      </c>
      <c r="D29" t="s">
        <v>157</v>
      </c>
      <c r="E29" t="s">
        <v>61</v>
      </c>
      <c r="F29" t="s">
        <v>34</v>
      </c>
      <c r="G29" t="s">
        <v>48</v>
      </c>
      <c r="H29" t="s">
        <v>158</v>
      </c>
      <c r="I29">
        <v>5</v>
      </c>
      <c r="J29">
        <v>1002</v>
      </c>
      <c r="K29" t="s">
        <v>21</v>
      </c>
      <c r="L29">
        <v>697.81</v>
      </c>
      <c r="M29" t="s">
        <v>22</v>
      </c>
      <c r="N29" t="s">
        <v>23</v>
      </c>
    </row>
    <row r="30" spans="1:14" x14ac:dyDescent="0.35">
      <c r="A30" t="s">
        <v>159</v>
      </c>
      <c r="B30" t="s">
        <v>160</v>
      </c>
      <c r="C30" t="s">
        <v>161</v>
      </c>
      <c r="D30" t="s">
        <v>162</v>
      </c>
      <c r="E30" t="s">
        <v>93</v>
      </c>
      <c r="F30" t="s">
        <v>34</v>
      </c>
      <c r="G30" t="s">
        <v>54</v>
      </c>
      <c r="H30" t="s">
        <v>68</v>
      </c>
      <c r="I30">
        <v>5</v>
      </c>
      <c r="J30">
        <v>1179.71</v>
      </c>
      <c r="K30" t="s">
        <v>42</v>
      </c>
      <c r="L30">
        <v>323.60000000000002</v>
      </c>
      <c r="M30" t="s">
        <v>22</v>
      </c>
      <c r="N30" t="s">
        <v>23</v>
      </c>
    </row>
    <row r="31" spans="1:14" x14ac:dyDescent="0.35">
      <c r="A31" t="s">
        <v>163</v>
      </c>
      <c r="B31" t="s">
        <v>164</v>
      </c>
      <c r="C31" t="s">
        <v>165</v>
      </c>
      <c r="D31" t="s">
        <v>166</v>
      </c>
      <c r="E31" t="s">
        <v>17</v>
      </c>
      <c r="F31" t="s">
        <v>94</v>
      </c>
      <c r="G31" t="s">
        <v>48</v>
      </c>
      <c r="H31" t="s">
        <v>158</v>
      </c>
      <c r="I31">
        <v>11</v>
      </c>
      <c r="J31">
        <v>1210.81</v>
      </c>
      <c r="K31" t="s">
        <v>42</v>
      </c>
      <c r="L31">
        <v>48.12</v>
      </c>
      <c r="M31" t="s">
        <v>69</v>
      </c>
      <c r="N31" t="s">
        <v>23</v>
      </c>
    </row>
    <row r="32" spans="1:14" x14ac:dyDescent="0.35">
      <c r="A32" t="s">
        <v>167</v>
      </c>
      <c r="B32" t="s">
        <v>168</v>
      </c>
      <c r="C32" t="s">
        <v>45</v>
      </c>
      <c r="D32" t="s">
        <v>169</v>
      </c>
      <c r="E32" t="s">
        <v>93</v>
      </c>
      <c r="F32" t="s">
        <v>103</v>
      </c>
      <c r="G32" t="s">
        <v>54</v>
      </c>
      <c r="H32" t="s">
        <v>55</v>
      </c>
      <c r="I32">
        <v>11</v>
      </c>
      <c r="J32">
        <v>1339.53</v>
      </c>
      <c r="K32" t="s">
        <v>42</v>
      </c>
      <c r="L32">
        <v>885.69</v>
      </c>
      <c r="M32" t="s">
        <v>22</v>
      </c>
      <c r="N32" t="s">
        <v>23</v>
      </c>
    </row>
    <row r="33" spans="1:14" x14ac:dyDescent="0.35">
      <c r="A33" t="s">
        <v>170</v>
      </c>
      <c r="B33" t="s">
        <v>171</v>
      </c>
      <c r="C33" t="s">
        <v>72</v>
      </c>
      <c r="D33" t="s">
        <v>172</v>
      </c>
      <c r="E33" t="s">
        <v>93</v>
      </c>
      <c r="F33" t="s">
        <v>18</v>
      </c>
      <c r="G33" t="s">
        <v>54</v>
      </c>
      <c r="H33" t="s">
        <v>74</v>
      </c>
      <c r="I33">
        <v>9</v>
      </c>
      <c r="J33">
        <v>1425.31</v>
      </c>
      <c r="K33">
        <v>0.2</v>
      </c>
      <c r="L33">
        <v>613.42999999999995</v>
      </c>
      <c r="M33" t="s">
        <v>69</v>
      </c>
      <c r="N33" t="s">
        <v>56</v>
      </c>
    </row>
    <row r="34" spans="1:14" x14ac:dyDescent="0.35">
      <c r="A34" t="s">
        <v>173</v>
      </c>
      <c r="B34" t="s">
        <v>174</v>
      </c>
      <c r="C34" t="s">
        <v>175</v>
      </c>
      <c r="D34" t="s">
        <v>176</v>
      </c>
      <c r="E34" t="s">
        <v>17</v>
      </c>
      <c r="F34" t="s">
        <v>18</v>
      </c>
      <c r="G34" t="s">
        <v>48</v>
      </c>
      <c r="H34" t="s">
        <v>135</v>
      </c>
      <c r="I34">
        <v>9</v>
      </c>
      <c r="J34">
        <v>362.67</v>
      </c>
      <c r="K34">
        <v>0.05</v>
      </c>
      <c r="L34">
        <v>714.12</v>
      </c>
      <c r="M34" t="s">
        <v>22</v>
      </c>
      <c r="N34" t="s">
        <v>23</v>
      </c>
    </row>
    <row r="35" spans="1:14" x14ac:dyDescent="0.35">
      <c r="A35" t="s">
        <v>177</v>
      </c>
      <c r="B35" t="s">
        <v>178</v>
      </c>
      <c r="C35" t="s">
        <v>66</v>
      </c>
      <c r="D35" t="s">
        <v>179</v>
      </c>
      <c r="E35" t="s">
        <v>47</v>
      </c>
      <c r="F35" t="s">
        <v>62</v>
      </c>
      <c r="G35" t="s">
        <v>54</v>
      </c>
      <c r="H35" t="s">
        <v>68</v>
      </c>
      <c r="I35">
        <v>7</v>
      </c>
      <c r="J35">
        <v>701.56</v>
      </c>
      <c r="K35" t="s">
        <v>42</v>
      </c>
      <c r="L35">
        <v>833.23</v>
      </c>
      <c r="M35" t="s">
        <v>69</v>
      </c>
      <c r="N35" t="s">
        <v>56</v>
      </c>
    </row>
    <row r="36" spans="1:14" x14ac:dyDescent="0.35">
      <c r="A36" t="s">
        <v>180</v>
      </c>
      <c r="B36" t="s">
        <v>181</v>
      </c>
      <c r="C36" t="s">
        <v>182</v>
      </c>
      <c r="D36" t="s">
        <v>183</v>
      </c>
      <c r="E36" t="s">
        <v>61</v>
      </c>
      <c r="F36" t="s">
        <v>94</v>
      </c>
      <c r="G36" t="s">
        <v>19</v>
      </c>
      <c r="H36" t="s">
        <v>158</v>
      </c>
      <c r="I36">
        <v>14</v>
      </c>
      <c r="J36">
        <v>1122.54</v>
      </c>
      <c r="K36">
        <v>0.05</v>
      </c>
      <c r="L36">
        <v>604.04999999999995</v>
      </c>
      <c r="M36" t="s">
        <v>49</v>
      </c>
      <c r="N36" t="s">
        <v>56</v>
      </c>
    </row>
    <row r="37" spans="1:14" x14ac:dyDescent="0.35">
      <c r="A37" t="s">
        <v>184</v>
      </c>
      <c r="B37" t="s">
        <v>185</v>
      </c>
      <c r="C37" t="s">
        <v>77</v>
      </c>
      <c r="D37" t="s">
        <v>186</v>
      </c>
      <c r="E37" t="s">
        <v>17</v>
      </c>
      <c r="F37" t="s">
        <v>34</v>
      </c>
      <c r="G37" t="s">
        <v>48</v>
      </c>
      <c r="H37" t="s">
        <v>88</v>
      </c>
      <c r="I37">
        <v>8</v>
      </c>
      <c r="J37">
        <v>1471.18</v>
      </c>
      <c r="K37" t="s">
        <v>21</v>
      </c>
      <c r="L37">
        <v>907.12</v>
      </c>
      <c r="M37" t="s">
        <v>69</v>
      </c>
      <c r="N37" t="s">
        <v>23</v>
      </c>
    </row>
    <row r="38" spans="1:14" x14ac:dyDescent="0.35">
      <c r="A38" t="s">
        <v>187</v>
      </c>
      <c r="B38" t="s">
        <v>188</v>
      </c>
      <c r="C38" t="s">
        <v>189</v>
      </c>
      <c r="D38" t="s">
        <v>190</v>
      </c>
      <c r="E38" t="s">
        <v>93</v>
      </c>
      <c r="F38" t="s">
        <v>103</v>
      </c>
      <c r="G38" t="s">
        <v>54</v>
      </c>
      <c r="H38" t="s">
        <v>74</v>
      </c>
      <c r="I38">
        <v>6</v>
      </c>
      <c r="J38">
        <v>493.63</v>
      </c>
      <c r="K38" t="s">
        <v>42</v>
      </c>
      <c r="L38">
        <v>380.37</v>
      </c>
      <c r="M38" t="s">
        <v>49</v>
      </c>
      <c r="N38" t="s">
        <v>23</v>
      </c>
    </row>
    <row r="39" spans="1:14" x14ac:dyDescent="0.35">
      <c r="A39" t="s">
        <v>191</v>
      </c>
      <c r="B39" t="s">
        <v>192</v>
      </c>
      <c r="C39" t="s">
        <v>91</v>
      </c>
      <c r="D39" t="s">
        <v>193</v>
      </c>
      <c r="E39" t="s">
        <v>83</v>
      </c>
      <c r="F39" t="s">
        <v>94</v>
      </c>
      <c r="G39" t="s">
        <v>112</v>
      </c>
      <c r="H39" t="s">
        <v>20</v>
      </c>
      <c r="I39">
        <v>1</v>
      </c>
      <c r="K39">
        <v>0.05</v>
      </c>
      <c r="L39">
        <v>154.08000000000001</v>
      </c>
      <c r="M39" t="s">
        <v>35</v>
      </c>
      <c r="N39" t="s">
        <v>23</v>
      </c>
    </row>
    <row r="40" spans="1:14" x14ac:dyDescent="0.35">
      <c r="A40" t="s">
        <v>194</v>
      </c>
      <c r="B40" t="s">
        <v>195</v>
      </c>
      <c r="C40" t="s">
        <v>196</v>
      </c>
      <c r="D40" t="s">
        <v>197</v>
      </c>
      <c r="E40" t="s">
        <v>83</v>
      </c>
      <c r="F40" t="s">
        <v>103</v>
      </c>
      <c r="G40" t="s">
        <v>112</v>
      </c>
      <c r="H40" t="s">
        <v>20</v>
      </c>
      <c r="I40">
        <v>2</v>
      </c>
      <c r="J40">
        <v>1393.69</v>
      </c>
      <c r="K40" t="s">
        <v>42</v>
      </c>
      <c r="L40">
        <v>908.21</v>
      </c>
      <c r="M40" t="s">
        <v>22</v>
      </c>
      <c r="N40" t="s">
        <v>23</v>
      </c>
    </row>
    <row r="41" spans="1:14" x14ac:dyDescent="0.35">
      <c r="A41" t="s">
        <v>198</v>
      </c>
      <c r="B41" t="s">
        <v>199</v>
      </c>
      <c r="C41" t="s">
        <v>200</v>
      </c>
      <c r="D41" t="s">
        <v>201</v>
      </c>
      <c r="E41" t="s">
        <v>17</v>
      </c>
      <c r="F41" t="s">
        <v>94</v>
      </c>
      <c r="G41" t="s">
        <v>48</v>
      </c>
      <c r="H41" t="s">
        <v>20</v>
      </c>
      <c r="I41">
        <v>6</v>
      </c>
      <c r="J41">
        <v>993.97</v>
      </c>
      <c r="K41">
        <v>0</v>
      </c>
      <c r="L41">
        <v>648.25</v>
      </c>
      <c r="M41" t="s">
        <v>35</v>
      </c>
      <c r="N41" t="s">
        <v>56</v>
      </c>
    </row>
    <row r="42" spans="1:14" x14ac:dyDescent="0.35">
      <c r="A42" t="s">
        <v>202</v>
      </c>
      <c r="B42" t="s">
        <v>203</v>
      </c>
      <c r="C42" t="s">
        <v>204</v>
      </c>
      <c r="D42" t="s">
        <v>205</v>
      </c>
      <c r="E42" t="s">
        <v>83</v>
      </c>
      <c r="F42" t="s">
        <v>103</v>
      </c>
      <c r="G42" t="s">
        <v>112</v>
      </c>
      <c r="H42" t="s">
        <v>88</v>
      </c>
      <c r="I42">
        <v>5</v>
      </c>
      <c r="J42">
        <v>1379.83</v>
      </c>
      <c r="K42">
        <v>0.2</v>
      </c>
      <c r="L42">
        <v>465.94</v>
      </c>
      <c r="M42" t="s">
        <v>35</v>
      </c>
      <c r="N42" t="s">
        <v>56</v>
      </c>
    </row>
    <row r="43" spans="1:14" x14ac:dyDescent="0.35">
      <c r="A43" t="s">
        <v>206</v>
      </c>
      <c r="B43" t="s">
        <v>207</v>
      </c>
      <c r="C43" t="s">
        <v>97</v>
      </c>
      <c r="D43" t="s">
        <v>208</v>
      </c>
      <c r="E43" t="s">
        <v>18</v>
      </c>
      <c r="F43" t="s">
        <v>62</v>
      </c>
      <c r="G43" t="s">
        <v>112</v>
      </c>
      <c r="H43" t="s">
        <v>88</v>
      </c>
      <c r="I43">
        <v>1</v>
      </c>
      <c r="J43">
        <v>490.9</v>
      </c>
      <c r="K43">
        <v>0.1</v>
      </c>
      <c r="L43">
        <v>356.12</v>
      </c>
      <c r="M43" t="s">
        <v>49</v>
      </c>
      <c r="N43" t="s">
        <v>23</v>
      </c>
    </row>
    <row r="44" spans="1:14" x14ac:dyDescent="0.35">
      <c r="A44" t="s">
        <v>209</v>
      </c>
      <c r="B44" t="s">
        <v>210</v>
      </c>
      <c r="C44" t="s">
        <v>211</v>
      </c>
      <c r="D44" t="s">
        <v>212</v>
      </c>
      <c r="E44" t="s">
        <v>83</v>
      </c>
      <c r="F44" t="s">
        <v>41</v>
      </c>
      <c r="G44" t="s">
        <v>19</v>
      </c>
      <c r="H44" t="s">
        <v>135</v>
      </c>
      <c r="I44">
        <v>4</v>
      </c>
      <c r="J44">
        <v>970.62</v>
      </c>
      <c r="K44">
        <v>0</v>
      </c>
      <c r="L44">
        <v>793.35</v>
      </c>
      <c r="M44" t="s">
        <v>35</v>
      </c>
      <c r="N44" t="s">
        <v>56</v>
      </c>
    </row>
    <row r="45" spans="1:14" x14ac:dyDescent="0.35">
      <c r="A45" t="s">
        <v>213</v>
      </c>
      <c r="B45" t="s">
        <v>214</v>
      </c>
      <c r="C45" t="s">
        <v>215</v>
      </c>
      <c r="D45" t="s">
        <v>216</v>
      </c>
      <c r="E45" t="s">
        <v>40</v>
      </c>
      <c r="F45" t="s">
        <v>18</v>
      </c>
      <c r="G45" t="s">
        <v>28</v>
      </c>
      <c r="H45" t="s">
        <v>153</v>
      </c>
      <c r="I45">
        <v>6</v>
      </c>
      <c r="J45">
        <v>683.35</v>
      </c>
      <c r="K45">
        <v>0.2</v>
      </c>
      <c r="L45">
        <v>232.08</v>
      </c>
      <c r="M45" t="s">
        <v>22</v>
      </c>
      <c r="N45" t="s">
        <v>56</v>
      </c>
    </row>
    <row r="46" spans="1:14" x14ac:dyDescent="0.35">
      <c r="A46" t="s">
        <v>217</v>
      </c>
      <c r="B46" t="s">
        <v>218</v>
      </c>
      <c r="C46" t="s">
        <v>219</v>
      </c>
      <c r="D46" t="s">
        <v>220</v>
      </c>
      <c r="E46" t="s">
        <v>40</v>
      </c>
      <c r="F46" t="s">
        <v>34</v>
      </c>
      <c r="G46" t="s">
        <v>48</v>
      </c>
      <c r="H46" t="s">
        <v>158</v>
      </c>
      <c r="I46">
        <v>6</v>
      </c>
      <c r="J46">
        <v>26.15</v>
      </c>
      <c r="K46">
        <v>0</v>
      </c>
      <c r="L46">
        <v>275.76</v>
      </c>
      <c r="M46" t="s">
        <v>69</v>
      </c>
      <c r="N46" t="s">
        <v>23</v>
      </c>
    </row>
    <row r="47" spans="1:14" x14ac:dyDescent="0.35">
      <c r="A47" t="s">
        <v>221</v>
      </c>
      <c r="B47" t="s">
        <v>222</v>
      </c>
      <c r="C47" t="s">
        <v>86</v>
      </c>
      <c r="D47" t="s">
        <v>223</v>
      </c>
      <c r="E47" t="s">
        <v>47</v>
      </c>
      <c r="F47" t="s">
        <v>18</v>
      </c>
      <c r="G47" t="s">
        <v>19</v>
      </c>
      <c r="H47" t="s">
        <v>158</v>
      </c>
      <c r="I47">
        <v>1</v>
      </c>
      <c r="J47">
        <v>1293.28</v>
      </c>
      <c r="K47" t="s">
        <v>42</v>
      </c>
      <c r="L47">
        <v>67.209999999999994</v>
      </c>
      <c r="M47" t="s">
        <v>22</v>
      </c>
      <c r="N47" t="s">
        <v>23</v>
      </c>
    </row>
    <row r="48" spans="1:14" x14ac:dyDescent="0.35">
      <c r="A48" t="s">
        <v>224</v>
      </c>
      <c r="B48" t="s">
        <v>225</v>
      </c>
      <c r="C48" t="s">
        <v>226</v>
      </c>
      <c r="D48" t="s">
        <v>227</v>
      </c>
      <c r="E48" t="s">
        <v>61</v>
      </c>
      <c r="F48" t="s">
        <v>41</v>
      </c>
      <c r="G48" t="s">
        <v>19</v>
      </c>
      <c r="H48" t="s">
        <v>135</v>
      </c>
      <c r="I48">
        <v>10</v>
      </c>
      <c r="J48">
        <v>342.4</v>
      </c>
      <c r="K48" t="s">
        <v>42</v>
      </c>
      <c r="L48">
        <v>451.61</v>
      </c>
      <c r="M48" t="s">
        <v>49</v>
      </c>
      <c r="N48" t="s">
        <v>23</v>
      </c>
    </row>
    <row r="49" spans="1:14" x14ac:dyDescent="0.35">
      <c r="A49" t="s">
        <v>228</v>
      </c>
      <c r="B49" t="s">
        <v>229</v>
      </c>
      <c r="D49" t="s">
        <v>230</v>
      </c>
      <c r="E49" t="s">
        <v>18</v>
      </c>
      <c r="F49" t="s">
        <v>34</v>
      </c>
      <c r="G49" t="s">
        <v>112</v>
      </c>
      <c r="H49" t="s">
        <v>135</v>
      </c>
      <c r="I49">
        <v>3</v>
      </c>
      <c r="J49">
        <v>239.02</v>
      </c>
      <c r="K49" t="s">
        <v>42</v>
      </c>
      <c r="L49">
        <v>689.99</v>
      </c>
      <c r="M49" t="s">
        <v>35</v>
      </c>
      <c r="N49" t="s">
        <v>56</v>
      </c>
    </row>
    <row r="50" spans="1:14" x14ac:dyDescent="0.35">
      <c r="A50" t="s">
        <v>231</v>
      </c>
      <c r="B50" t="s">
        <v>232</v>
      </c>
      <c r="C50" t="s">
        <v>45</v>
      </c>
      <c r="D50" t="s">
        <v>233</v>
      </c>
      <c r="E50" t="s">
        <v>18</v>
      </c>
      <c r="F50" t="s">
        <v>18</v>
      </c>
      <c r="G50" t="s">
        <v>19</v>
      </c>
      <c r="H50" t="s">
        <v>135</v>
      </c>
      <c r="I50">
        <v>13</v>
      </c>
      <c r="J50">
        <v>993.47</v>
      </c>
      <c r="K50" t="s">
        <v>21</v>
      </c>
      <c r="L50">
        <v>426.29</v>
      </c>
      <c r="M50" t="s">
        <v>49</v>
      </c>
      <c r="N50" t="s">
        <v>23</v>
      </c>
    </row>
    <row r="51" spans="1:14" x14ac:dyDescent="0.35">
      <c r="A51" t="s">
        <v>234</v>
      </c>
      <c r="B51" t="s">
        <v>235</v>
      </c>
      <c r="C51" t="s">
        <v>72</v>
      </c>
      <c r="D51" t="s">
        <v>236</v>
      </c>
      <c r="E51" t="s">
        <v>93</v>
      </c>
      <c r="F51" t="s">
        <v>103</v>
      </c>
      <c r="G51" t="s">
        <v>112</v>
      </c>
      <c r="H51" t="s">
        <v>158</v>
      </c>
      <c r="I51">
        <v>5</v>
      </c>
      <c r="J51">
        <v>705.7</v>
      </c>
      <c r="K51">
        <v>0.1</v>
      </c>
      <c r="L51">
        <v>403.7</v>
      </c>
      <c r="M51" t="s">
        <v>49</v>
      </c>
      <c r="N51" t="s">
        <v>56</v>
      </c>
    </row>
    <row r="52" spans="1:14" x14ac:dyDescent="0.35">
      <c r="A52" t="s">
        <v>237</v>
      </c>
      <c r="B52" t="s">
        <v>238</v>
      </c>
      <c r="C52" t="s">
        <v>175</v>
      </c>
      <c r="D52" t="s">
        <v>239</v>
      </c>
      <c r="E52" t="s">
        <v>40</v>
      </c>
      <c r="F52" t="s">
        <v>94</v>
      </c>
      <c r="G52" t="s">
        <v>48</v>
      </c>
      <c r="H52" t="s">
        <v>158</v>
      </c>
      <c r="I52">
        <v>11</v>
      </c>
      <c r="J52">
        <v>864.92</v>
      </c>
      <c r="K52">
        <v>0.2</v>
      </c>
      <c r="L52">
        <v>999.57</v>
      </c>
      <c r="M52" t="s">
        <v>69</v>
      </c>
      <c r="N52" t="s">
        <v>23</v>
      </c>
    </row>
    <row r="53" spans="1:14" x14ac:dyDescent="0.35">
      <c r="A53" t="s">
        <v>240</v>
      </c>
      <c r="B53" t="s">
        <v>241</v>
      </c>
      <c r="C53" t="s">
        <v>242</v>
      </c>
      <c r="D53" t="s">
        <v>243</v>
      </c>
      <c r="E53" t="s">
        <v>18</v>
      </c>
      <c r="F53" t="s">
        <v>34</v>
      </c>
      <c r="G53" t="s">
        <v>112</v>
      </c>
      <c r="H53" t="s">
        <v>88</v>
      </c>
      <c r="I53">
        <v>8</v>
      </c>
      <c r="J53">
        <v>503.3</v>
      </c>
      <c r="K53">
        <v>0.1</v>
      </c>
      <c r="L53">
        <v>858.02</v>
      </c>
      <c r="M53" t="s">
        <v>69</v>
      </c>
      <c r="N53" t="s">
        <v>23</v>
      </c>
    </row>
    <row r="54" spans="1:14" x14ac:dyDescent="0.35">
      <c r="A54" t="s">
        <v>244</v>
      </c>
      <c r="B54" t="s">
        <v>245</v>
      </c>
      <c r="C54" t="s">
        <v>246</v>
      </c>
      <c r="D54" t="s">
        <v>247</v>
      </c>
      <c r="E54" t="s">
        <v>47</v>
      </c>
      <c r="F54" t="s">
        <v>18</v>
      </c>
      <c r="G54" t="s">
        <v>54</v>
      </c>
      <c r="H54" t="s">
        <v>74</v>
      </c>
      <c r="I54">
        <v>2</v>
      </c>
      <c r="J54">
        <v>609.24</v>
      </c>
      <c r="K54">
        <v>0.2</v>
      </c>
      <c r="L54">
        <v>988.14</v>
      </c>
      <c r="M54" t="s">
        <v>35</v>
      </c>
      <c r="N54" t="s">
        <v>56</v>
      </c>
    </row>
    <row r="55" spans="1:14" x14ac:dyDescent="0.35">
      <c r="A55" t="s">
        <v>248</v>
      </c>
      <c r="B55" t="s">
        <v>249</v>
      </c>
      <c r="C55" t="s">
        <v>250</v>
      </c>
      <c r="D55" t="s">
        <v>251</v>
      </c>
      <c r="E55" t="s">
        <v>40</v>
      </c>
      <c r="F55" t="s">
        <v>41</v>
      </c>
      <c r="G55" t="s">
        <v>54</v>
      </c>
      <c r="H55" t="s">
        <v>74</v>
      </c>
      <c r="I55">
        <v>3</v>
      </c>
      <c r="J55">
        <v>659.98</v>
      </c>
      <c r="K55">
        <v>0.2</v>
      </c>
      <c r="L55">
        <v>123.18</v>
      </c>
      <c r="M55" t="s">
        <v>49</v>
      </c>
      <c r="N55" t="s">
        <v>56</v>
      </c>
    </row>
    <row r="56" spans="1:14" x14ac:dyDescent="0.35">
      <c r="A56" t="s">
        <v>252</v>
      </c>
      <c r="B56" t="s">
        <v>253</v>
      </c>
      <c r="C56" t="s">
        <v>175</v>
      </c>
      <c r="D56" t="s">
        <v>254</v>
      </c>
      <c r="E56" t="s">
        <v>93</v>
      </c>
      <c r="F56" t="s">
        <v>94</v>
      </c>
      <c r="G56" t="s">
        <v>19</v>
      </c>
      <c r="H56" t="s">
        <v>135</v>
      </c>
      <c r="I56">
        <v>2</v>
      </c>
      <c r="J56">
        <v>235.19</v>
      </c>
      <c r="K56">
        <v>0.2</v>
      </c>
      <c r="L56">
        <v>293.27999999999997</v>
      </c>
      <c r="M56" t="s">
        <v>22</v>
      </c>
      <c r="N56" t="s">
        <v>56</v>
      </c>
    </row>
    <row r="57" spans="1:14" x14ac:dyDescent="0.35">
      <c r="A57" t="s">
        <v>255</v>
      </c>
      <c r="B57" t="s">
        <v>256</v>
      </c>
      <c r="C57" t="s">
        <v>97</v>
      </c>
      <c r="D57" t="s">
        <v>257</v>
      </c>
      <c r="E57" t="s">
        <v>18</v>
      </c>
      <c r="F57" t="s">
        <v>103</v>
      </c>
      <c r="G57" t="s">
        <v>28</v>
      </c>
      <c r="H57" t="s">
        <v>29</v>
      </c>
      <c r="I57">
        <v>10</v>
      </c>
      <c r="J57">
        <v>1319.59</v>
      </c>
      <c r="K57" t="s">
        <v>42</v>
      </c>
      <c r="L57">
        <v>277.69</v>
      </c>
      <c r="M57" t="s">
        <v>35</v>
      </c>
      <c r="N57" t="s">
        <v>23</v>
      </c>
    </row>
    <row r="58" spans="1:14" x14ac:dyDescent="0.35">
      <c r="A58" t="s">
        <v>258</v>
      </c>
      <c r="B58" t="s">
        <v>259</v>
      </c>
      <c r="C58" t="s">
        <v>215</v>
      </c>
      <c r="D58" t="s">
        <v>260</v>
      </c>
      <c r="E58" t="s">
        <v>83</v>
      </c>
      <c r="F58" t="s">
        <v>62</v>
      </c>
      <c r="G58" t="s">
        <v>28</v>
      </c>
      <c r="H58" t="s">
        <v>153</v>
      </c>
      <c r="I58">
        <v>9</v>
      </c>
      <c r="J58">
        <v>502</v>
      </c>
      <c r="K58">
        <v>0.1</v>
      </c>
      <c r="L58">
        <v>378.46</v>
      </c>
      <c r="M58" t="s">
        <v>69</v>
      </c>
      <c r="N58" t="s">
        <v>23</v>
      </c>
    </row>
    <row r="59" spans="1:14" x14ac:dyDescent="0.35">
      <c r="A59" t="s">
        <v>261</v>
      </c>
      <c r="B59" t="s">
        <v>262</v>
      </c>
      <c r="C59" t="s">
        <v>263</v>
      </c>
      <c r="D59" t="s">
        <v>264</v>
      </c>
      <c r="E59" t="s">
        <v>40</v>
      </c>
      <c r="F59" t="s">
        <v>62</v>
      </c>
      <c r="G59" t="s">
        <v>54</v>
      </c>
      <c r="H59" t="s">
        <v>74</v>
      </c>
      <c r="I59">
        <v>13</v>
      </c>
      <c r="J59">
        <v>1482.68</v>
      </c>
      <c r="K59">
        <v>0.05</v>
      </c>
      <c r="L59">
        <v>652.71</v>
      </c>
      <c r="M59" t="s">
        <v>35</v>
      </c>
      <c r="N59" t="s">
        <v>23</v>
      </c>
    </row>
    <row r="60" spans="1:14" x14ac:dyDescent="0.35">
      <c r="A60" t="s">
        <v>265</v>
      </c>
      <c r="B60" t="s">
        <v>266</v>
      </c>
      <c r="C60" t="s">
        <v>97</v>
      </c>
      <c r="D60" t="s">
        <v>267</v>
      </c>
      <c r="E60" t="s">
        <v>61</v>
      </c>
      <c r="F60" t="s">
        <v>34</v>
      </c>
      <c r="G60" t="s">
        <v>54</v>
      </c>
      <c r="H60" t="s">
        <v>74</v>
      </c>
      <c r="I60">
        <v>3</v>
      </c>
      <c r="J60">
        <v>983.9</v>
      </c>
      <c r="K60">
        <v>0.1</v>
      </c>
      <c r="L60">
        <v>470.55</v>
      </c>
      <c r="M60" t="s">
        <v>49</v>
      </c>
      <c r="N60" t="s">
        <v>23</v>
      </c>
    </row>
    <row r="61" spans="1:14" x14ac:dyDescent="0.35">
      <c r="A61" t="s">
        <v>268</v>
      </c>
      <c r="B61" t="s">
        <v>71</v>
      </c>
      <c r="C61" t="s">
        <v>106</v>
      </c>
      <c r="D61" t="s">
        <v>269</v>
      </c>
      <c r="E61" t="s">
        <v>17</v>
      </c>
      <c r="F61" t="s">
        <v>94</v>
      </c>
      <c r="G61" t="s">
        <v>28</v>
      </c>
      <c r="H61" t="s">
        <v>63</v>
      </c>
      <c r="I61">
        <v>13</v>
      </c>
      <c r="J61">
        <v>813.82</v>
      </c>
      <c r="K61">
        <v>0.2</v>
      </c>
      <c r="L61">
        <v>236.3</v>
      </c>
      <c r="M61" t="s">
        <v>49</v>
      </c>
      <c r="N61" t="s">
        <v>23</v>
      </c>
    </row>
    <row r="62" spans="1:14" x14ac:dyDescent="0.35">
      <c r="A62" t="s">
        <v>270</v>
      </c>
      <c r="B62" t="s">
        <v>271</v>
      </c>
      <c r="C62" t="s">
        <v>272</v>
      </c>
      <c r="D62" t="s">
        <v>273</v>
      </c>
      <c r="E62" t="s">
        <v>40</v>
      </c>
      <c r="F62" t="s">
        <v>18</v>
      </c>
      <c r="G62" t="s">
        <v>54</v>
      </c>
      <c r="H62" t="s">
        <v>74</v>
      </c>
      <c r="I62">
        <v>-1</v>
      </c>
      <c r="J62">
        <v>1195.23</v>
      </c>
      <c r="K62">
        <v>0.05</v>
      </c>
      <c r="L62">
        <v>376.09</v>
      </c>
      <c r="M62" t="s">
        <v>22</v>
      </c>
      <c r="N62" t="s">
        <v>23</v>
      </c>
    </row>
    <row r="63" spans="1:14" x14ac:dyDescent="0.35">
      <c r="A63" t="s">
        <v>274</v>
      </c>
      <c r="B63" t="s">
        <v>275</v>
      </c>
      <c r="C63" t="s">
        <v>276</v>
      </c>
      <c r="D63" t="s">
        <v>277</v>
      </c>
      <c r="E63" t="s">
        <v>40</v>
      </c>
      <c r="F63" t="s">
        <v>103</v>
      </c>
      <c r="G63" t="s">
        <v>28</v>
      </c>
      <c r="H63" t="s">
        <v>63</v>
      </c>
      <c r="I63">
        <v>10</v>
      </c>
      <c r="J63">
        <v>694.42</v>
      </c>
      <c r="K63">
        <v>0</v>
      </c>
      <c r="L63">
        <v>256.82</v>
      </c>
      <c r="M63" t="s">
        <v>69</v>
      </c>
      <c r="N63" t="s">
        <v>23</v>
      </c>
    </row>
    <row r="64" spans="1:14" x14ac:dyDescent="0.35">
      <c r="A64" t="s">
        <v>278</v>
      </c>
      <c r="B64" t="s">
        <v>279</v>
      </c>
      <c r="C64" t="s">
        <v>32</v>
      </c>
      <c r="D64" t="s">
        <v>280</v>
      </c>
      <c r="E64" t="s">
        <v>18</v>
      </c>
      <c r="F64" t="s">
        <v>34</v>
      </c>
      <c r="G64" t="s">
        <v>28</v>
      </c>
      <c r="H64" t="s">
        <v>63</v>
      </c>
      <c r="I64">
        <v>8</v>
      </c>
      <c r="J64">
        <v>302.83</v>
      </c>
      <c r="K64">
        <v>0.05</v>
      </c>
      <c r="L64">
        <v>484.24</v>
      </c>
      <c r="M64" t="s">
        <v>35</v>
      </c>
      <c r="N64" t="s">
        <v>23</v>
      </c>
    </row>
    <row r="65" spans="1:14" x14ac:dyDescent="0.35">
      <c r="A65" t="s">
        <v>281</v>
      </c>
      <c r="B65" t="s">
        <v>282</v>
      </c>
      <c r="C65" t="s">
        <v>283</v>
      </c>
      <c r="D65" t="s">
        <v>284</v>
      </c>
      <c r="E65" t="s">
        <v>144</v>
      </c>
      <c r="F65" t="s">
        <v>18</v>
      </c>
      <c r="G65" t="s">
        <v>54</v>
      </c>
      <c r="H65" t="s">
        <v>55</v>
      </c>
      <c r="I65">
        <v>12</v>
      </c>
      <c r="J65">
        <v>1366.37</v>
      </c>
      <c r="K65">
        <v>0.1</v>
      </c>
      <c r="L65">
        <v>833.17</v>
      </c>
      <c r="M65" t="s">
        <v>22</v>
      </c>
      <c r="N65" t="s">
        <v>23</v>
      </c>
    </row>
    <row r="66" spans="1:14" x14ac:dyDescent="0.35">
      <c r="A66" t="s">
        <v>285</v>
      </c>
      <c r="B66" t="s">
        <v>286</v>
      </c>
      <c r="C66" t="s">
        <v>287</v>
      </c>
      <c r="D66" t="s">
        <v>288</v>
      </c>
      <c r="E66" t="s">
        <v>40</v>
      </c>
      <c r="F66" t="s">
        <v>18</v>
      </c>
      <c r="G66" t="s">
        <v>112</v>
      </c>
      <c r="H66" t="s">
        <v>20</v>
      </c>
      <c r="I66">
        <v>13</v>
      </c>
      <c r="J66">
        <v>871.46</v>
      </c>
      <c r="K66">
        <v>0.1</v>
      </c>
      <c r="L66">
        <v>91.95</v>
      </c>
      <c r="M66" t="s">
        <v>22</v>
      </c>
      <c r="N66" t="s">
        <v>23</v>
      </c>
    </row>
    <row r="67" spans="1:14" x14ac:dyDescent="0.35">
      <c r="A67" t="s">
        <v>289</v>
      </c>
      <c r="B67" t="s">
        <v>290</v>
      </c>
      <c r="C67" t="s">
        <v>97</v>
      </c>
      <c r="D67" t="s">
        <v>291</v>
      </c>
      <c r="E67" t="s">
        <v>93</v>
      </c>
      <c r="F67" t="s">
        <v>103</v>
      </c>
      <c r="G67" t="s">
        <v>28</v>
      </c>
      <c r="H67" t="s">
        <v>153</v>
      </c>
      <c r="I67">
        <v>3</v>
      </c>
      <c r="J67">
        <v>1237.9100000000001</v>
      </c>
      <c r="K67">
        <v>0.2</v>
      </c>
      <c r="L67">
        <v>806.88</v>
      </c>
      <c r="M67" t="s">
        <v>22</v>
      </c>
      <c r="N67" t="s">
        <v>23</v>
      </c>
    </row>
    <row r="68" spans="1:14" x14ac:dyDescent="0.35">
      <c r="A68" t="s">
        <v>292</v>
      </c>
      <c r="B68" t="s">
        <v>293</v>
      </c>
      <c r="C68" t="s">
        <v>294</v>
      </c>
      <c r="D68" t="s">
        <v>295</v>
      </c>
      <c r="E68" t="s">
        <v>144</v>
      </c>
      <c r="F68" t="s">
        <v>103</v>
      </c>
      <c r="G68" t="s">
        <v>54</v>
      </c>
      <c r="H68" t="s">
        <v>68</v>
      </c>
      <c r="I68">
        <v>-7</v>
      </c>
      <c r="J68">
        <v>807.18</v>
      </c>
      <c r="K68">
        <v>0.2</v>
      </c>
      <c r="L68">
        <v>673.48</v>
      </c>
      <c r="M68" t="s">
        <v>22</v>
      </c>
      <c r="N68" t="s">
        <v>56</v>
      </c>
    </row>
    <row r="69" spans="1:14" x14ac:dyDescent="0.35">
      <c r="A69" t="s">
        <v>296</v>
      </c>
      <c r="B69" t="s">
        <v>297</v>
      </c>
      <c r="C69" t="s">
        <v>298</v>
      </c>
      <c r="D69" t="s">
        <v>299</v>
      </c>
      <c r="E69" t="s">
        <v>18</v>
      </c>
      <c r="F69" t="s">
        <v>94</v>
      </c>
      <c r="G69" t="s">
        <v>19</v>
      </c>
      <c r="H69" t="s">
        <v>158</v>
      </c>
      <c r="I69">
        <v>11</v>
      </c>
      <c r="J69">
        <v>1364.53</v>
      </c>
      <c r="K69">
        <v>0.05</v>
      </c>
      <c r="L69">
        <v>409.48</v>
      </c>
      <c r="M69" t="s">
        <v>49</v>
      </c>
      <c r="N69" t="s">
        <v>23</v>
      </c>
    </row>
    <row r="70" spans="1:14" x14ac:dyDescent="0.35">
      <c r="A70" t="s">
        <v>300</v>
      </c>
      <c r="B70" t="s">
        <v>301</v>
      </c>
      <c r="C70" t="s">
        <v>302</v>
      </c>
      <c r="D70" t="s">
        <v>303</v>
      </c>
      <c r="E70" t="s">
        <v>93</v>
      </c>
      <c r="F70" t="s">
        <v>62</v>
      </c>
      <c r="G70" t="s">
        <v>112</v>
      </c>
      <c r="H70" t="s">
        <v>135</v>
      </c>
      <c r="I70">
        <v>12</v>
      </c>
      <c r="J70">
        <v>812.59</v>
      </c>
      <c r="K70" t="s">
        <v>42</v>
      </c>
      <c r="L70">
        <v>727.15</v>
      </c>
      <c r="M70" t="s">
        <v>69</v>
      </c>
      <c r="N70" t="s">
        <v>23</v>
      </c>
    </row>
    <row r="71" spans="1:14" x14ac:dyDescent="0.35">
      <c r="A71" t="s">
        <v>304</v>
      </c>
      <c r="B71" t="s">
        <v>305</v>
      </c>
      <c r="C71" t="s">
        <v>306</v>
      </c>
      <c r="D71" t="s">
        <v>307</v>
      </c>
      <c r="E71" t="s">
        <v>18</v>
      </c>
      <c r="F71" t="s">
        <v>18</v>
      </c>
      <c r="G71" t="s">
        <v>19</v>
      </c>
      <c r="H71" t="s">
        <v>158</v>
      </c>
      <c r="I71">
        <v>14</v>
      </c>
      <c r="J71">
        <v>1471.49</v>
      </c>
      <c r="K71">
        <v>0.2</v>
      </c>
      <c r="L71">
        <v>901.89</v>
      </c>
      <c r="M71" t="s">
        <v>49</v>
      </c>
      <c r="N71" t="s">
        <v>56</v>
      </c>
    </row>
    <row r="72" spans="1:14" x14ac:dyDescent="0.35">
      <c r="A72" t="s">
        <v>308</v>
      </c>
      <c r="B72" t="s">
        <v>309</v>
      </c>
      <c r="C72" t="s">
        <v>310</v>
      </c>
      <c r="D72" t="s">
        <v>311</v>
      </c>
      <c r="E72" t="s">
        <v>83</v>
      </c>
      <c r="F72" t="s">
        <v>18</v>
      </c>
      <c r="G72" t="s">
        <v>19</v>
      </c>
      <c r="H72" t="s">
        <v>135</v>
      </c>
      <c r="I72">
        <v>1</v>
      </c>
      <c r="J72">
        <v>369.14</v>
      </c>
      <c r="K72">
        <v>0</v>
      </c>
      <c r="L72">
        <v>565.45000000000005</v>
      </c>
      <c r="M72" t="s">
        <v>35</v>
      </c>
      <c r="N72" t="s">
        <v>23</v>
      </c>
    </row>
    <row r="73" spans="1:14" x14ac:dyDescent="0.35">
      <c r="A73" t="s">
        <v>312</v>
      </c>
      <c r="B73" t="s">
        <v>313</v>
      </c>
      <c r="C73" t="s">
        <v>314</v>
      </c>
      <c r="D73" t="s">
        <v>315</v>
      </c>
      <c r="E73" t="s">
        <v>83</v>
      </c>
      <c r="F73" t="s">
        <v>62</v>
      </c>
      <c r="G73" t="s">
        <v>28</v>
      </c>
      <c r="H73" t="s">
        <v>29</v>
      </c>
      <c r="I73">
        <v>3</v>
      </c>
      <c r="J73">
        <v>1198.78</v>
      </c>
      <c r="K73">
        <v>0.05</v>
      </c>
      <c r="L73">
        <v>866.71</v>
      </c>
      <c r="M73" t="s">
        <v>35</v>
      </c>
      <c r="N73" t="s">
        <v>23</v>
      </c>
    </row>
    <row r="74" spans="1:14" x14ac:dyDescent="0.35">
      <c r="A74" t="s">
        <v>316</v>
      </c>
      <c r="B74" t="s">
        <v>317</v>
      </c>
      <c r="C74" t="s">
        <v>204</v>
      </c>
      <c r="D74" t="s">
        <v>318</v>
      </c>
      <c r="E74" t="s">
        <v>83</v>
      </c>
      <c r="F74" t="s">
        <v>62</v>
      </c>
      <c r="G74" t="s">
        <v>112</v>
      </c>
      <c r="H74" t="s">
        <v>158</v>
      </c>
      <c r="I74">
        <v>7</v>
      </c>
      <c r="J74">
        <v>1119.77</v>
      </c>
      <c r="K74" t="s">
        <v>21</v>
      </c>
      <c r="L74">
        <v>778.46</v>
      </c>
      <c r="M74" t="s">
        <v>49</v>
      </c>
      <c r="N74" t="s">
        <v>23</v>
      </c>
    </row>
    <row r="75" spans="1:14" x14ac:dyDescent="0.35">
      <c r="A75" t="s">
        <v>319</v>
      </c>
      <c r="B75" t="s">
        <v>320</v>
      </c>
      <c r="C75" t="s">
        <v>86</v>
      </c>
      <c r="D75" t="s">
        <v>321</v>
      </c>
      <c r="E75" t="s">
        <v>144</v>
      </c>
      <c r="F75" t="s">
        <v>62</v>
      </c>
      <c r="G75" t="s">
        <v>54</v>
      </c>
      <c r="H75" t="s">
        <v>68</v>
      </c>
      <c r="I75">
        <v>8</v>
      </c>
      <c r="J75">
        <v>642.28</v>
      </c>
      <c r="K75" t="s">
        <v>42</v>
      </c>
      <c r="L75">
        <v>712.98</v>
      </c>
      <c r="M75" t="s">
        <v>22</v>
      </c>
      <c r="N75" t="s">
        <v>23</v>
      </c>
    </row>
    <row r="76" spans="1:14" x14ac:dyDescent="0.35">
      <c r="A76" t="s">
        <v>322</v>
      </c>
      <c r="B76" t="s">
        <v>323</v>
      </c>
      <c r="C76" t="s">
        <v>119</v>
      </c>
      <c r="D76" t="s">
        <v>324</v>
      </c>
      <c r="E76" t="s">
        <v>17</v>
      </c>
      <c r="F76" t="s">
        <v>34</v>
      </c>
      <c r="G76" t="s">
        <v>112</v>
      </c>
      <c r="H76" t="s">
        <v>158</v>
      </c>
      <c r="I76">
        <v>6</v>
      </c>
      <c r="J76">
        <v>898.1</v>
      </c>
      <c r="K76" t="s">
        <v>42</v>
      </c>
      <c r="L76">
        <v>506.54</v>
      </c>
      <c r="M76" t="s">
        <v>22</v>
      </c>
      <c r="N76" t="s">
        <v>56</v>
      </c>
    </row>
    <row r="77" spans="1:14" x14ac:dyDescent="0.35">
      <c r="A77" t="s">
        <v>325</v>
      </c>
      <c r="B77" t="s">
        <v>326</v>
      </c>
      <c r="C77" t="s">
        <v>327</v>
      </c>
      <c r="D77" t="s">
        <v>328</v>
      </c>
      <c r="E77" t="s">
        <v>17</v>
      </c>
      <c r="F77" t="s">
        <v>103</v>
      </c>
      <c r="G77" t="s">
        <v>54</v>
      </c>
      <c r="H77" t="s">
        <v>74</v>
      </c>
      <c r="I77">
        <v>7</v>
      </c>
      <c r="J77">
        <v>472.26</v>
      </c>
      <c r="K77">
        <v>0.05</v>
      </c>
      <c r="L77">
        <v>256.38</v>
      </c>
      <c r="M77" t="s">
        <v>49</v>
      </c>
      <c r="N77" t="s">
        <v>23</v>
      </c>
    </row>
    <row r="78" spans="1:14" x14ac:dyDescent="0.35">
      <c r="A78" t="s">
        <v>329</v>
      </c>
      <c r="B78" t="s">
        <v>330</v>
      </c>
      <c r="C78" t="s">
        <v>306</v>
      </c>
      <c r="D78" t="s">
        <v>331</v>
      </c>
      <c r="E78" t="s">
        <v>61</v>
      </c>
      <c r="F78" t="s">
        <v>34</v>
      </c>
      <c r="G78" t="s">
        <v>54</v>
      </c>
      <c r="H78" t="s">
        <v>74</v>
      </c>
      <c r="I78">
        <v>9</v>
      </c>
      <c r="J78">
        <v>1435.15</v>
      </c>
      <c r="K78" t="s">
        <v>42</v>
      </c>
      <c r="L78">
        <v>670.67</v>
      </c>
      <c r="M78" t="s">
        <v>49</v>
      </c>
      <c r="N78" t="s">
        <v>23</v>
      </c>
    </row>
    <row r="79" spans="1:14" x14ac:dyDescent="0.35">
      <c r="A79" t="s">
        <v>332</v>
      </c>
      <c r="B79" t="s">
        <v>333</v>
      </c>
      <c r="C79" t="s">
        <v>334</v>
      </c>
      <c r="D79" t="s">
        <v>335</v>
      </c>
      <c r="E79" t="s">
        <v>18</v>
      </c>
      <c r="F79" t="s">
        <v>62</v>
      </c>
      <c r="G79" t="s">
        <v>28</v>
      </c>
      <c r="H79" t="s">
        <v>63</v>
      </c>
      <c r="I79">
        <v>9</v>
      </c>
      <c r="J79">
        <v>986.82</v>
      </c>
      <c r="K79" t="s">
        <v>21</v>
      </c>
      <c r="L79">
        <v>110</v>
      </c>
      <c r="M79" t="s">
        <v>22</v>
      </c>
      <c r="N79" t="s">
        <v>56</v>
      </c>
    </row>
    <row r="80" spans="1:14" x14ac:dyDescent="0.35">
      <c r="A80" t="s">
        <v>336</v>
      </c>
      <c r="B80" t="s">
        <v>337</v>
      </c>
      <c r="C80" t="s">
        <v>310</v>
      </c>
      <c r="D80" t="s">
        <v>338</v>
      </c>
      <c r="E80" t="s">
        <v>144</v>
      </c>
      <c r="F80" t="s">
        <v>41</v>
      </c>
      <c r="G80" t="s">
        <v>28</v>
      </c>
      <c r="H80" t="s">
        <v>153</v>
      </c>
      <c r="I80">
        <v>10</v>
      </c>
      <c r="J80">
        <v>1245.04</v>
      </c>
      <c r="K80">
        <v>0.2</v>
      </c>
      <c r="L80">
        <v>182.06</v>
      </c>
      <c r="M80" t="s">
        <v>49</v>
      </c>
      <c r="N80" t="s">
        <v>23</v>
      </c>
    </row>
    <row r="81" spans="1:14" x14ac:dyDescent="0.35">
      <c r="A81" t="s">
        <v>339</v>
      </c>
      <c r="B81" t="s">
        <v>340</v>
      </c>
      <c r="C81" t="s">
        <v>97</v>
      </c>
      <c r="D81" t="s">
        <v>341</v>
      </c>
      <c r="E81" t="s">
        <v>18</v>
      </c>
      <c r="F81" t="s">
        <v>34</v>
      </c>
      <c r="G81" t="s">
        <v>112</v>
      </c>
      <c r="H81" t="s">
        <v>88</v>
      </c>
      <c r="I81">
        <v>11</v>
      </c>
      <c r="J81">
        <v>142.18</v>
      </c>
      <c r="K81" t="s">
        <v>42</v>
      </c>
      <c r="L81">
        <v>377.44</v>
      </c>
      <c r="M81" t="s">
        <v>35</v>
      </c>
      <c r="N81" t="s">
        <v>23</v>
      </c>
    </row>
    <row r="82" spans="1:14" x14ac:dyDescent="0.35">
      <c r="A82" t="s">
        <v>342</v>
      </c>
      <c r="B82" t="s">
        <v>343</v>
      </c>
      <c r="C82" t="s">
        <v>344</v>
      </c>
      <c r="D82" t="s">
        <v>345</v>
      </c>
      <c r="E82" t="s">
        <v>17</v>
      </c>
      <c r="F82" t="s">
        <v>41</v>
      </c>
      <c r="G82" t="s">
        <v>19</v>
      </c>
      <c r="H82" t="s">
        <v>135</v>
      </c>
      <c r="I82">
        <v>2</v>
      </c>
      <c r="J82">
        <v>994.6</v>
      </c>
      <c r="K82">
        <v>0.1</v>
      </c>
      <c r="L82">
        <v>443.16</v>
      </c>
      <c r="M82" t="s">
        <v>69</v>
      </c>
      <c r="N82" t="s">
        <v>23</v>
      </c>
    </row>
    <row r="83" spans="1:14" x14ac:dyDescent="0.35">
      <c r="A83" t="s">
        <v>346</v>
      </c>
      <c r="B83" t="s">
        <v>266</v>
      </c>
      <c r="C83" t="s">
        <v>310</v>
      </c>
      <c r="D83" t="s">
        <v>347</v>
      </c>
      <c r="E83" t="s">
        <v>144</v>
      </c>
      <c r="F83" t="s">
        <v>103</v>
      </c>
      <c r="G83" t="s">
        <v>48</v>
      </c>
      <c r="H83" t="s">
        <v>88</v>
      </c>
      <c r="I83">
        <v>7</v>
      </c>
      <c r="J83">
        <v>86.9</v>
      </c>
      <c r="K83">
        <v>0.05</v>
      </c>
      <c r="L83">
        <v>945.43</v>
      </c>
      <c r="M83" t="s">
        <v>49</v>
      </c>
      <c r="N83" t="s">
        <v>56</v>
      </c>
    </row>
    <row r="84" spans="1:14" x14ac:dyDescent="0.35">
      <c r="A84" t="s">
        <v>348</v>
      </c>
      <c r="B84" t="s">
        <v>349</v>
      </c>
      <c r="C84" t="s">
        <v>298</v>
      </c>
      <c r="D84" t="s">
        <v>350</v>
      </c>
      <c r="E84" t="s">
        <v>93</v>
      </c>
      <c r="F84" t="s">
        <v>103</v>
      </c>
      <c r="G84" t="s">
        <v>54</v>
      </c>
      <c r="H84" t="s">
        <v>74</v>
      </c>
      <c r="I84">
        <v>9</v>
      </c>
      <c r="J84">
        <v>1003.73</v>
      </c>
      <c r="K84">
        <v>0.2</v>
      </c>
      <c r="L84">
        <v>398.28</v>
      </c>
      <c r="M84" t="s">
        <v>35</v>
      </c>
      <c r="N84" t="s">
        <v>56</v>
      </c>
    </row>
    <row r="85" spans="1:14" x14ac:dyDescent="0.35">
      <c r="A85" t="s">
        <v>351</v>
      </c>
      <c r="B85" t="s">
        <v>352</v>
      </c>
      <c r="C85" t="s">
        <v>353</v>
      </c>
      <c r="D85" t="s">
        <v>354</v>
      </c>
      <c r="E85" t="s">
        <v>17</v>
      </c>
      <c r="F85" t="s">
        <v>18</v>
      </c>
      <c r="G85" t="s">
        <v>28</v>
      </c>
      <c r="H85" t="s">
        <v>63</v>
      </c>
      <c r="I85">
        <v>-7</v>
      </c>
      <c r="J85">
        <v>490.53</v>
      </c>
      <c r="K85">
        <v>0.2</v>
      </c>
      <c r="L85">
        <v>618.89</v>
      </c>
      <c r="M85" t="s">
        <v>69</v>
      </c>
      <c r="N85" t="s">
        <v>56</v>
      </c>
    </row>
    <row r="86" spans="1:14" x14ac:dyDescent="0.35">
      <c r="A86" t="s">
        <v>355</v>
      </c>
      <c r="B86" t="s">
        <v>356</v>
      </c>
      <c r="C86" t="s">
        <v>215</v>
      </c>
      <c r="D86" t="s">
        <v>357</v>
      </c>
      <c r="E86" t="s">
        <v>144</v>
      </c>
      <c r="F86" t="s">
        <v>41</v>
      </c>
      <c r="G86" t="s">
        <v>28</v>
      </c>
      <c r="H86" t="s">
        <v>29</v>
      </c>
      <c r="I86">
        <v>4</v>
      </c>
      <c r="J86">
        <v>256.36</v>
      </c>
      <c r="K86" t="s">
        <v>21</v>
      </c>
      <c r="L86">
        <v>115.8</v>
      </c>
      <c r="M86" t="s">
        <v>22</v>
      </c>
      <c r="N86" t="s">
        <v>23</v>
      </c>
    </row>
    <row r="87" spans="1:14" x14ac:dyDescent="0.35">
      <c r="A87" t="s">
        <v>358</v>
      </c>
      <c r="B87" t="s">
        <v>359</v>
      </c>
      <c r="C87" t="s">
        <v>263</v>
      </c>
      <c r="D87" t="s">
        <v>360</v>
      </c>
      <c r="E87" t="s">
        <v>93</v>
      </c>
      <c r="F87" t="s">
        <v>34</v>
      </c>
      <c r="G87" t="s">
        <v>19</v>
      </c>
      <c r="H87" t="s">
        <v>135</v>
      </c>
      <c r="I87">
        <v>10</v>
      </c>
      <c r="J87">
        <v>1139.93</v>
      </c>
      <c r="K87">
        <v>0.2</v>
      </c>
      <c r="L87">
        <v>951.39</v>
      </c>
      <c r="M87" t="s">
        <v>35</v>
      </c>
      <c r="N87" t="s">
        <v>23</v>
      </c>
    </row>
    <row r="88" spans="1:14" x14ac:dyDescent="0.35">
      <c r="A88" t="s">
        <v>361</v>
      </c>
      <c r="B88" t="s">
        <v>362</v>
      </c>
      <c r="C88" t="s">
        <v>147</v>
      </c>
      <c r="D88" t="s">
        <v>363</v>
      </c>
      <c r="E88" t="s">
        <v>18</v>
      </c>
      <c r="F88" t="s">
        <v>103</v>
      </c>
      <c r="G88" t="s">
        <v>112</v>
      </c>
      <c r="H88" t="s">
        <v>88</v>
      </c>
      <c r="I88">
        <v>13</v>
      </c>
      <c r="J88">
        <v>88.98</v>
      </c>
      <c r="K88" t="s">
        <v>42</v>
      </c>
      <c r="L88">
        <v>311.79000000000002</v>
      </c>
      <c r="M88" t="s">
        <v>49</v>
      </c>
      <c r="N88" t="s">
        <v>56</v>
      </c>
    </row>
    <row r="89" spans="1:14" x14ac:dyDescent="0.35">
      <c r="A89" t="s">
        <v>364</v>
      </c>
      <c r="B89" t="s">
        <v>365</v>
      </c>
      <c r="C89" t="s">
        <v>72</v>
      </c>
      <c r="D89" t="s">
        <v>366</v>
      </c>
      <c r="E89" t="s">
        <v>47</v>
      </c>
      <c r="F89" t="s">
        <v>94</v>
      </c>
      <c r="G89" t="s">
        <v>54</v>
      </c>
      <c r="H89" t="s">
        <v>68</v>
      </c>
      <c r="I89">
        <v>1</v>
      </c>
      <c r="J89">
        <v>1215.67</v>
      </c>
      <c r="K89" t="s">
        <v>42</v>
      </c>
      <c r="L89">
        <v>322.88</v>
      </c>
      <c r="M89" t="s">
        <v>49</v>
      </c>
      <c r="N89" t="s">
        <v>23</v>
      </c>
    </row>
    <row r="90" spans="1:14" x14ac:dyDescent="0.35">
      <c r="A90" t="s">
        <v>367</v>
      </c>
      <c r="B90" t="s">
        <v>368</v>
      </c>
      <c r="C90" t="s">
        <v>369</v>
      </c>
      <c r="D90" t="s">
        <v>370</v>
      </c>
      <c r="E90" t="s">
        <v>144</v>
      </c>
      <c r="F90" t="s">
        <v>34</v>
      </c>
      <c r="G90" t="s">
        <v>19</v>
      </c>
      <c r="H90" t="s">
        <v>135</v>
      </c>
      <c r="I90">
        <v>8</v>
      </c>
      <c r="J90">
        <v>788.48</v>
      </c>
      <c r="K90">
        <v>0.1</v>
      </c>
      <c r="L90">
        <v>365.17</v>
      </c>
      <c r="M90" t="s">
        <v>49</v>
      </c>
      <c r="N90" t="s">
        <v>23</v>
      </c>
    </row>
    <row r="91" spans="1:14" x14ac:dyDescent="0.35">
      <c r="A91" t="s">
        <v>371</v>
      </c>
      <c r="B91" t="s">
        <v>372</v>
      </c>
      <c r="C91" t="s">
        <v>373</v>
      </c>
      <c r="D91" t="s">
        <v>374</v>
      </c>
      <c r="E91" t="s">
        <v>40</v>
      </c>
      <c r="F91" t="s">
        <v>41</v>
      </c>
      <c r="G91" t="s">
        <v>19</v>
      </c>
      <c r="H91" t="s">
        <v>158</v>
      </c>
      <c r="I91">
        <v>5</v>
      </c>
      <c r="J91">
        <v>986.56</v>
      </c>
      <c r="K91">
        <v>0.1</v>
      </c>
      <c r="L91">
        <v>873.53</v>
      </c>
      <c r="M91" t="s">
        <v>35</v>
      </c>
      <c r="N91" t="s">
        <v>56</v>
      </c>
    </row>
    <row r="92" spans="1:14" x14ac:dyDescent="0.35">
      <c r="A92" t="s">
        <v>375</v>
      </c>
      <c r="B92" t="s">
        <v>376</v>
      </c>
      <c r="C92" t="s">
        <v>377</v>
      </c>
      <c r="D92" t="s">
        <v>378</v>
      </c>
      <c r="E92" t="s">
        <v>61</v>
      </c>
      <c r="F92" t="s">
        <v>62</v>
      </c>
      <c r="G92" t="s">
        <v>112</v>
      </c>
      <c r="H92" t="s">
        <v>20</v>
      </c>
      <c r="I92">
        <v>6</v>
      </c>
      <c r="J92">
        <v>1006.82</v>
      </c>
      <c r="K92">
        <v>0.2</v>
      </c>
      <c r="L92">
        <v>739.3</v>
      </c>
      <c r="M92" t="s">
        <v>35</v>
      </c>
      <c r="N92" t="s">
        <v>23</v>
      </c>
    </row>
    <row r="93" spans="1:14" x14ac:dyDescent="0.35">
      <c r="A93" t="s">
        <v>379</v>
      </c>
      <c r="B93" t="s">
        <v>380</v>
      </c>
      <c r="C93" t="s">
        <v>72</v>
      </c>
      <c r="D93" t="s">
        <v>381</v>
      </c>
      <c r="E93" t="s">
        <v>47</v>
      </c>
      <c r="F93" t="s">
        <v>34</v>
      </c>
      <c r="G93" t="s">
        <v>48</v>
      </c>
      <c r="H93" t="s">
        <v>158</v>
      </c>
      <c r="I93">
        <v>13</v>
      </c>
      <c r="J93">
        <v>343.68</v>
      </c>
      <c r="K93">
        <v>0</v>
      </c>
      <c r="L93">
        <v>79.010000000000005</v>
      </c>
      <c r="M93" t="s">
        <v>35</v>
      </c>
      <c r="N93" t="s">
        <v>23</v>
      </c>
    </row>
    <row r="94" spans="1:14" x14ac:dyDescent="0.35">
      <c r="A94" t="s">
        <v>382</v>
      </c>
      <c r="B94" t="s">
        <v>383</v>
      </c>
      <c r="C94" t="s">
        <v>242</v>
      </c>
      <c r="D94" t="s">
        <v>384</v>
      </c>
      <c r="E94" t="s">
        <v>83</v>
      </c>
      <c r="F94" t="s">
        <v>94</v>
      </c>
      <c r="G94" t="s">
        <v>28</v>
      </c>
      <c r="H94" t="s">
        <v>63</v>
      </c>
      <c r="I94">
        <v>14</v>
      </c>
      <c r="J94">
        <v>938.99</v>
      </c>
      <c r="K94">
        <v>0</v>
      </c>
      <c r="L94">
        <v>721.74</v>
      </c>
      <c r="M94" t="s">
        <v>35</v>
      </c>
      <c r="N94" t="s">
        <v>56</v>
      </c>
    </row>
    <row r="95" spans="1:14" x14ac:dyDescent="0.35">
      <c r="A95" t="s">
        <v>385</v>
      </c>
      <c r="B95" t="s">
        <v>376</v>
      </c>
      <c r="C95" t="s">
        <v>66</v>
      </c>
      <c r="D95" t="s">
        <v>386</v>
      </c>
      <c r="E95" t="s">
        <v>61</v>
      </c>
      <c r="F95" t="s">
        <v>62</v>
      </c>
      <c r="G95" t="s">
        <v>112</v>
      </c>
      <c r="H95" t="s">
        <v>135</v>
      </c>
      <c r="I95">
        <v>15</v>
      </c>
      <c r="J95">
        <v>554.91999999999996</v>
      </c>
      <c r="K95" t="s">
        <v>42</v>
      </c>
      <c r="L95">
        <v>984.47</v>
      </c>
      <c r="M95" t="s">
        <v>69</v>
      </c>
      <c r="N95" t="s">
        <v>23</v>
      </c>
    </row>
    <row r="96" spans="1:14" x14ac:dyDescent="0.35">
      <c r="A96" t="s">
        <v>387</v>
      </c>
      <c r="B96" t="s">
        <v>388</v>
      </c>
      <c r="C96" t="s">
        <v>389</v>
      </c>
      <c r="D96" t="s">
        <v>390</v>
      </c>
      <c r="E96" t="s">
        <v>40</v>
      </c>
      <c r="F96" t="s">
        <v>41</v>
      </c>
      <c r="G96" t="s">
        <v>112</v>
      </c>
      <c r="H96" t="s">
        <v>135</v>
      </c>
      <c r="I96">
        <v>11</v>
      </c>
      <c r="J96">
        <v>559.96</v>
      </c>
      <c r="K96" t="s">
        <v>21</v>
      </c>
      <c r="L96">
        <v>711.98</v>
      </c>
      <c r="M96" t="s">
        <v>69</v>
      </c>
      <c r="N96" t="s">
        <v>23</v>
      </c>
    </row>
    <row r="97" spans="1:14" x14ac:dyDescent="0.35">
      <c r="A97" t="s">
        <v>391</v>
      </c>
      <c r="B97" t="s">
        <v>392</v>
      </c>
      <c r="C97" t="s">
        <v>369</v>
      </c>
      <c r="D97" t="s">
        <v>393</v>
      </c>
      <c r="E97" t="s">
        <v>144</v>
      </c>
      <c r="F97" t="s">
        <v>18</v>
      </c>
      <c r="G97" t="s">
        <v>54</v>
      </c>
      <c r="H97" t="s">
        <v>74</v>
      </c>
      <c r="I97">
        <v>15</v>
      </c>
      <c r="J97">
        <v>44.87</v>
      </c>
      <c r="K97">
        <v>0.05</v>
      </c>
      <c r="L97">
        <v>503</v>
      </c>
      <c r="M97" t="s">
        <v>49</v>
      </c>
      <c r="N97" t="s">
        <v>23</v>
      </c>
    </row>
    <row r="98" spans="1:14" x14ac:dyDescent="0.35">
      <c r="A98" t="s">
        <v>394</v>
      </c>
      <c r="B98" t="s">
        <v>395</v>
      </c>
      <c r="C98" t="s">
        <v>91</v>
      </c>
      <c r="D98" t="s">
        <v>396</v>
      </c>
      <c r="E98" t="s">
        <v>47</v>
      </c>
      <c r="F98" t="s">
        <v>103</v>
      </c>
      <c r="G98" t="s">
        <v>19</v>
      </c>
      <c r="H98" t="s">
        <v>158</v>
      </c>
      <c r="I98">
        <v>1</v>
      </c>
      <c r="J98">
        <v>1245.49</v>
      </c>
      <c r="K98">
        <v>0.2</v>
      </c>
      <c r="L98">
        <v>140.52000000000001</v>
      </c>
      <c r="M98" t="s">
        <v>49</v>
      </c>
      <c r="N98" t="s">
        <v>23</v>
      </c>
    </row>
    <row r="99" spans="1:14" x14ac:dyDescent="0.35">
      <c r="A99" t="s">
        <v>397</v>
      </c>
      <c r="B99" t="s">
        <v>398</v>
      </c>
      <c r="C99" t="s">
        <v>38</v>
      </c>
      <c r="D99" t="s">
        <v>399</v>
      </c>
      <c r="E99" t="s">
        <v>93</v>
      </c>
      <c r="F99" t="s">
        <v>103</v>
      </c>
      <c r="G99" t="s">
        <v>112</v>
      </c>
      <c r="H99" t="s">
        <v>135</v>
      </c>
      <c r="I99">
        <v>7</v>
      </c>
      <c r="J99">
        <v>435.71</v>
      </c>
      <c r="K99" t="s">
        <v>42</v>
      </c>
      <c r="L99">
        <v>49.65</v>
      </c>
      <c r="M99" t="s">
        <v>49</v>
      </c>
      <c r="N99" t="s">
        <v>56</v>
      </c>
    </row>
    <row r="100" spans="1:14" x14ac:dyDescent="0.35">
      <c r="A100" t="s">
        <v>400</v>
      </c>
      <c r="B100" t="s">
        <v>401</v>
      </c>
      <c r="C100" t="s">
        <v>402</v>
      </c>
      <c r="D100" t="s">
        <v>403</v>
      </c>
      <c r="E100" t="s">
        <v>17</v>
      </c>
      <c r="F100" t="s">
        <v>62</v>
      </c>
      <c r="G100" t="s">
        <v>28</v>
      </c>
      <c r="H100" t="s">
        <v>153</v>
      </c>
      <c r="I100">
        <v>12</v>
      </c>
      <c r="J100">
        <v>646.71</v>
      </c>
      <c r="K100" t="s">
        <v>42</v>
      </c>
      <c r="L100">
        <v>242.08</v>
      </c>
      <c r="M100" t="s">
        <v>35</v>
      </c>
      <c r="N100" t="s">
        <v>23</v>
      </c>
    </row>
    <row r="101" spans="1:14" x14ac:dyDescent="0.35">
      <c r="A101" t="s">
        <v>404</v>
      </c>
      <c r="B101" t="s">
        <v>405</v>
      </c>
      <c r="D101" t="s">
        <v>406</v>
      </c>
      <c r="E101" t="s">
        <v>17</v>
      </c>
      <c r="F101" t="s">
        <v>41</v>
      </c>
      <c r="G101" t="s">
        <v>28</v>
      </c>
      <c r="H101" t="s">
        <v>153</v>
      </c>
      <c r="I101">
        <v>1</v>
      </c>
      <c r="J101">
        <v>707.85</v>
      </c>
      <c r="K101">
        <v>0.1</v>
      </c>
      <c r="L101">
        <v>981.08</v>
      </c>
      <c r="M101" t="s">
        <v>22</v>
      </c>
      <c r="N101" t="s">
        <v>23</v>
      </c>
    </row>
    <row r="102" spans="1:14" x14ac:dyDescent="0.35">
      <c r="A102" t="s">
        <v>407</v>
      </c>
      <c r="B102" t="s">
        <v>408</v>
      </c>
      <c r="C102" t="s">
        <v>409</v>
      </c>
      <c r="D102" t="s">
        <v>410</v>
      </c>
      <c r="E102" t="s">
        <v>40</v>
      </c>
      <c r="F102" t="s">
        <v>103</v>
      </c>
      <c r="G102" t="s">
        <v>28</v>
      </c>
      <c r="H102" t="s">
        <v>153</v>
      </c>
      <c r="I102">
        <v>9</v>
      </c>
      <c r="J102">
        <v>965.98</v>
      </c>
      <c r="K102">
        <v>0.2</v>
      </c>
      <c r="L102">
        <v>685.31</v>
      </c>
      <c r="M102" t="s">
        <v>69</v>
      </c>
      <c r="N102" t="s">
        <v>23</v>
      </c>
    </row>
    <row r="103" spans="1:14" x14ac:dyDescent="0.35">
      <c r="A103" t="s">
        <v>411</v>
      </c>
      <c r="B103" t="s">
        <v>412</v>
      </c>
      <c r="C103" t="s">
        <v>147</v>
      </c>
      <c r="D103" t="s">
        <v>413</v>
      </c>
      <c r="E103" t="s">
        <v>83</v>
      </c>
      <c r="F103" t="s">
        <v>41</v>
      </c>
      <c r="G103" t="s">
        <v>48</v>
      </c>
      <c r="H103" t="s">
        <v>135</v>
      </c>
      <c r="I103">
        <v>6</v>
      </c>
      <c r="J103">
        <v>775.5</v>
      </c>
      <c r="K103">
        <v>0.1</v>
      </c>
      <c r="L103">
        <v>543.94000000000005</v>
      </c>
      <c r="M103" t="s">
        <v>35</v>
      </c>
      <c r="N103" t="s">
        <v>23</v>
      </c>
    </row>
    <row r="104" spans="1:14" x14ac:dyDescent="0.35">
      <c r="A104" t="s">
        <v>414</v>
      </c>
      <c r="B104" t="s">
        <v>415</v>
      </c>
      <c r="C104" t="s">
        <v>416</v>
      </c>
      <c r="D104" t="s">
        <v>417</v>
      </c>
      <c r="E104" t="s">
        <v>18</v>
      </c>
      <c r="F104" t="s">
        <v>103</v>
      </c>
      <c r="G104" t="s">
        <v>48</v>
      </c>
      <c r="H104" t="s">
        <v>158</v>
      </c>
      <c r="I104">
        <v>7</v>
      </c>
      <c r="J104">
        <v>1342.48</v>
      </c>
      <c r="K104" t="s">
        <v>42</v>
      </c>
      <c r="L104">
        <v>973.78</v>
      </c>
      <c r="M104" t="s">
        <v>69</v>
      </c>
      <c r="N104" t="s">
        <v>23</v>
      </c>
    </row>
    <row r="105" spans="1:14" x14ac:dyDescent="0.35">
      <c r="A105" t="s">
        <v>418</v>
      </c>
      <c r="B105" t="s">
        <v>419</v>
      </c>
      <c r="C105" t="s">
        <v>420</v>
      </c>
      <c r="D105" t="s">
        <v>421</v>
      </c>
      <c r="E105" t="s">
        <v>93</v>
      </c>
      <c r="F105" t="s">
        <v>41</v>
      </c>
      <c r="G105" t="s">
        <v>54</v>
      </c>
      <c r="H105" t="s">
        <v>68</v>
      </c>
      <c r="I105">
        <v>5</v>
      </c>
      <c r="J105">
        <v>124.7</v>
      </c>
      <c r="K105" t="s">
        <v>21</v>
      </c>
      <c r="L105">
        <v>307.88</v>
      </c>
      <c r="M105" t="s">
        <v>69</v>
      </c>
      <c r="N105" t="s">
        <v>23</v>
      </c>
    </row>
    <row r="106" spans="1:14" x14ac:dyDescent="0.35">
      <c r="A106" t="s">
        <v>422</v>
      </c>
      <c r="B106" t="s">
        <v>423</v>
      </c>
      <c r="C106" t="s">
        <v>59</v>
      </c>
      <c r="D106" t="s">
        <v>350</v>
      </c>
      <c r="E106" t="s">
        <v>40</v>
      </c>
      <c r="F106" t="s">
        <v>62</v>
      </c>
      <c r="G106" t="s">
        <v>48</v>
      </c>
      <c r="H106" t="s">
        <v>88</v>
      </c>
      <c r="I106">
        <v>1</v>
      </c>
      <c r="J106">
        <v>958.08</v>
      </c>
      <c r="K106">
        <v>0.2</v>
      </c>
      <c r="L106">
        <v>801.49</v>
      </c>
      <c r="M106" t="s">
        <v>69</v>
      </c>
      <c r="N106" t="s">
        <v>23</v>
      </c>
    </row>
    <row r="107" spans="1:14" x14ac:dyDescent="0.35">
      <c r="A107" t="s">
        <v>424</v>
      </c>
      <c r="B107" t="s">
        <v>425</v>
      </c>
      <c r="C107" t="s">
        <v>334</v>
      </c>
      <c r="D107" t="s">
        <v>426</v>
      </c>
      <c r="E107" t="s">
        <v>17</v>
      </c>
      <c r="F107" t="s">
        <v>62</v>
      </c>
      <c r="G107" t="s">
        <v>112</v>
      </c>
      <c r="H107" t="s">
        <v>20</v>
      </c>
      <c r="I107">
        <v>7</v>
      </c>
      <c r="J107">
        <v>53.42</v>
      </c>
      <c r="K107">
        <v>0.1</v>
      </c>
      <c r="L107">
        <v>451.02</v>
      </c>
      <c r="M107" t="s">
        <v>22</v>
      </c>
      <c r="N107" t="s">
        <v>23</v>
      </c>
    </row>
    <row r="108" spans="1:14" x14ac:dyDescent="0.35">
      <c r="A108" t="s">
        <v>427</v>
      </c>
      <c r="B108" t="s">
        <v>428</v>
      </c>
      <c r="C108" t="s">
        <v>294</v>
      </c>
      <c r="D108" t="s">
        <v>429</v>
      </c>
      <c r="E108" t="s">
        <v>93</v>
      </c>
      <c r="F108" t="s">
        <v>18</v>
      </c>
      <c r="G108" t="s">
        <v>54</v>
      </c>
      <c r="H108" t="s">
        <v>55</v>
      </c>
      <c r="I108">
        <v>-2</v>
      </c>
      <c r="J108">
        <v>283.14</v>
      </c>
      <c r="K108">
        <v>0</v>
      </c>
      <c r="L108">
        <v>913.72</v>
      </c>
      <c r="M108" t="s">
        <v>35</v>
      </c>
      <c r="N108" t="s">
        <v>56</v>
      </c>
    </row>
    <row r="109" spans="1:14" x14ac:dyDescent="0.35">
      <c r="A109" t="s">
        <v>430</v>
      </c>
      <c r="B109" t="s">
        <v>431</v>
      </c>
      <c r="C109" t="s">
        <v>432</v>
      </c>
      <c r="D109" t="s">
        <v>433</v>
      </c>
      <c r="E109" t="s">
        <v>17</v>
      </c>
      <c r="F109" t="s">
        <v>62</v>
      </c>
      <c r="G109" t="s">
        <v>112</v>
      </c>
      <c r="H109" t="s">
        <v>20</v>
      </c>
      <c r="I109">
        <v>15</v>
      </c>
      <c r="J109">
        <v>1495.91</v>
      </c>
      <c r="K109">
        <v>0.1</v>
      </c>
      <c r="L109">
        <v>967.63</v>
      </c>
      <c r="M109" t="s">
        <v>35</v>
      </c>
      <c r="N109" t="s">
        <v>23</v>
      </c>
    </row>
    <row r="110" spans="1:14" x14ac:dyDescent="0.35">
      <c r="A110" t="s">
        <v>434</v>
      </c>
      <c r="B110" t="s">
        <v>435</v>
      </c>
      <c r="C110" t="s">
        <v>334</v>
      </c>
      <c r="D110" t="s">
        <v>436</v>
      </c>
      <c r="E110" t="s">
        <v>40</v>
      </c>
      <c r="F110" t="s">
        <v>62</v>
      </c>
      <c r="G110" t="s">
        <v>112</v>
      </c>
      <c r="H110" t="s">
        <v>135</v>
      </c>
      <c r="I110">
        <v>4</v>
      </c>
      <c r="J110">
        <v>358.92</v>
      </c>
      <c r="K110" t="s">
        <v>21</v>
      </c>
      <c r="L110">
        <v>362.17</v>
      </c>
      <c r="M110" t="s">
        <v>49</v>
      </c>
      <c r="N110" t="s">
        <v>23</v>
      </c>
    </row>
    <row r="111" spans="1:14" x14ac:dyDescent="0.35">
      <c r="A111" t="s">
        <v>437</v>
      </c>
      <c r="B111" t="s">
        <v>438</v>
      </c>
      <c r="C111" t="s">
        <v>439</v>
      </c>
      <c r="D111" t="s">
        <v>440</v>
      </c>
      <c r="E111" t="s">
        <v>144</v>
      </c>
      <c r="F111" t="s">
        <v>18</v>
      </c>
      <c r="G111" t="s">
        <v>48</v>
      </c>
      <c r="H111" t="s">
        <v>88</v>
      </c>
      <c r="I111">
        <v>13</v>
      </c>
      <c r="J111">
        <v>864.48</v>
      </c>
      <c r="K111">
        <v>0</v>
      </c>
      <c r="L111">
        <v>318.39</v>
      </c>
      <c r="M111" t="s">
        <v>22</v>
      </c>
      <c r="N111" t="s">
        <v>23</v>
      </c>
    </row>
    <row r="112" spans="1:14" x14ac:dyDescent="0.35">
      <c r="A112" t="s">
        <v>441</v>
      </c>
      <c r="B112" t="s">
        <v>442</v>
      </c>
      <c r="C112" t="s">
        <v>443</v>
      </c>
      <c r="D112" t="s">
        <v>444</v>
      </c>
      <c r="E112" t="s">
        <v>17</v>
      </c>
      <c r="F112" t="s">
        <v>41</v>
      </c>
      <c r="G112" t="s">
        <v>54</v>
      </c>
      <c r="H112" t="s">
        <v>68</v>
      </c>
      <c r="I112">
        <v>9</v>
      </c>
      <c r="J112">
        <v>251.16</v>
      </c>
      <c r="K112">
        <v>0.1</v>
      </c>
      <c r="L112">
        <v>709.91</v>
      </c>
      <c r="M112" t="s">
        <v>22</v>
      </c>
      <c r="N112" t="s">
        <v>23</v>
      </c>
    </row>
    <row r="113" spans="1:14" x14ac:dyDescent="0.35">
      <c r="A113" t="s">
        <v>445</v>
      </c>
      <c r="B113" t="s">
        <v>337</v>
      </c>
      <c r="C113" t="s">
        <v>97</v>
      </c>
      <c r="D113" t="s">
        <v>446</v>
      </c>
      <c r="E113" t="s">
        <v>47</v>
      </c>
      <c r="F113" t="s">
        <v>103</v>
      </c>
      <c r="G113" t="s">
        <v>112</v>
      </c>
      <c r="H113" t="s">
        <v>158</v>
      </c>
      <c r="I113">
        <v>3</v>
      </c>
      <c r="J113">
        <v>873.07</v>
      </c>
      <c r="K113" t="s">
        <v>21</v>
      </c>
      <c r="L113">
        <v>625.23</v>
      </c>
      <c r="M113" t="s">
        <v>49</v>
      </c>
      <c r="N113" t="s">
        <v>23</v>
      </c>
    </row>
    <row r="114" spans="1:14" x14ac:dyDescent="0.35">
      <c r="A114" t="s">
        <v>447</v>
      </c>
      <c r="B114" t="s">
        <v>448</v>
      </c>
      <c r="C114" t="s">
        <v>449</v>
      </c>
      <c r="D114" t="s">
        <v>450</v>
      </c>
      <c r="E114" t="s">
        <v>93</v>
      </c>
      <c r="F114" t="s">
        <v>18</v>
      </c>
      <c r="G114" t="s">
        <v>28</v>
      </c>
      <c r="H114" t="s">
        <v>63</v>
      </c>
      <c r="I114">
        <v>10</v>
      </c>
      <c r="J114">
        <v>960.29</v>
      </c>
      <c r="K114">
        <v>0.1</v>
      </c>
      <c r="L114">
        <v>627.91</v>
      </c>
      <c r="M114" t="s">
        <v>69</v>
      </c>
      <c r="N114" t="s">
        <v>23</v>
      </c>
    </row>
    <row r="115" spans="1:14" x14ac:dyDescent="0.35">
      <c r="A115" t="s">
        <v>451</v>
      </c>
      <c r="B115" t="s">
        <v>452</v>
      </c>
      <c r="C115" t="s">
        <v>115</v>
      </c>
      <c r="D115" t="s">
        <v>453</v>
      </c>
      <c r="E115" t="s">
        <v>144</v>
      </c>
      <c r="F115" t="s">
        <v>94</v>
      </c>
      <c r="G115" t="s">
        <v>54</v>
      </c>
      <c r="H115" t="s">
        <v>74</v>
      </c>
      <c r="I115">
        <v>8</v>
      </c>
      <c r="J115">
        <v>699.34</v>
      </c>
      <c r="K115">
        <v>0.2</v>
      </c>
      <c r="L115">
        <v>145.38</v>
      </c>
      <c r="M115" t="s">
        <v>22</v>
      </c>
      <c r="N115" t="s">
        <v>23</v>
      </c>
    </row>
    <row r="116" spans="1:14" x14ac:dyDescent="0.35">
      <c r="A116" t="s">
        <v>454</v>
      </c>
      <c r="B116" t="s">
        <v>455</v>
      </c>
      <c r="C116" t="s">
        <v>200</v>
      </c>
      <c r="D116" t="s">
        <v>456</v>
      </c>
      <c r="E116" t="s">
        <v>40</v>
      </c>
      <c r="F116" t="s">
        <v>41</v>
      </c>
      <c r="G116" t="s">
        <v>28</v>
      </c>
      <c r="H116" t="s">
        <v>153</v>
      </c>
      <c r="I116">
        <v>5</v>
      </c>
      <c r="J116">
        <v>215.61</v>
      </c>
      <c r="K116" t="s">
        <v>21</v>
      </c>
      <c r="L116">
        <v>945.49</v>
      </c>
      <c r="M116" t="s">
        <v>35</v>
      </c>
      <c r="N116" t="s">
        <v>23</v>
      </c>
    </row>
    <row r="117" spans="1:14" x14ac:dyDescent="0.35">
      <c r="A117" t="s">
        <v>457</v>
      </c>
      <c r="B117" t="s">
        <v>458</v>
      </c>
      <c r="C117" t="s">
        <v>459</v>
      </c>
      <c r="D117" t="s">
        <v>460</v>
      </c>
      <c r="E117" t="s">
        <v>47</v>
      </c>
      <c r="F117" t="s">
        <v>41</v>
      </c>
      <c r="G117" t="s">
        <v>112</v>
      </c>
      <c r="H117" t="s">
        <v>88</v>
      </c>
      <c r="I117">
        <v>-8</v>
      </c>
      <c r="J117">
        <v>1418.12</v>
      </c>
      <c r="K117">
        <v>0.05</v>
      </c>
      <c r="L117">
        <v>966.75</v>
      </c>
      <c r="M117" t="s">
        <v>69</v>
      </c>
      <c r="N117" t="s">
        <v>56</v>
      </c>
    </row>
    <row r="118" spans="1:14" x14ac:dyDescent="0.35">
      <c r="A118" t="s">
        <v>461</v>
      </c>
      <c r="B118" t="s">
        <v>462</v>
      </c>
      <c r="C118" t="s">
        <v>101</v>
      </c>
      <c r="D118" t="s">
        <v>463</v>
      </c>
      <c r="E118" t="s">
        <v>83</v>
      </c>
      <c r="F118" t="s">
        <v>41</v>
      </c>
      <c r="G118" t="s">
        <v>48</v>
      </c>
      <c r="H118" t="s">
        <v>20</v>
      </c>
      <c r="I118">
        <v>3</v>
      </c>
      <c r="J118">
        <v>1092.6199999999999</v>
      </c>
      <c r="K118" t="s">
        <v>42</v>
      </c>
      <c r="L118">
        <v>367.21</v>
      </c>
      <c r="M118" t="s">
        <v>35</v>
      </c>
      <c r="N118" t="s">
        <v>23</v>
      </c>
    </row>
    <row r="119" spans="1:14" x14ac:dyDescent="0.35">
      <c r="A119" t="s">
        <v>464</v>
      </c>
      <c r="B119" t="s">
        <v>465</v>
      </c>
      <c r="C119" t="s">
        <v>466</v>
      </c>
      <c r="D119" t="s">
        <v>467</v>
      </c>
      <c r="E119" t="s">
        <v>40</v>
      </c>
      <c r="F119" t="s">
        <v>18</v>
      </c>
      <c r="G119" t="s">
        <v>54</v>
      </c>
      <c r="H119" t="s">
        <v>68</v>
      </c>
      <c r="I119">
        <v>10</v>
      </c>
      <c r="J119">
        <v>182.62</v>
      </c>
      <c r="K119">
        <v>0.1</v>
      </c>
      <c r="L119">
        <v>395.12</v>
      </c>
      <c r="M119" t="s">
        <v>69</v>
      </c>
      <c r="N119" t="s">
        <v>23</v>
      </c>
    </row>
    <row r="120" spans="1:14" x14ac:dyDescent="0.35">
      <c r="A120" t="s">
        <v>468</v>
      </c>
      <c r="B120" t="s">
        <v>469</v>
      </c>
      <c r="C120" t="s">
        <v>115</v>
      </c>
      <c r="D120" t="s">
        <v>470</v>
      </c>
      <c r="E120" t="s">
        <v>18</v>
      </c>
      <c r="F120" t="s">
        <v>62</v>
      </c>
      <c r="G120" t="s">
        <v>19</v>
      </c>
      <c r="H120" t="s">
        <v>20</v>
      </c>
      <c r="I120">
        <v>9</v>
      </c>
      <c r="J120">
        <v>911.36</v>
      </c>
      <c r="K120" t="s">
        <v>21</v>
      </c>
      <c r="L120">
        <v>329.31</v>
      </c>
      <c r="M120" t="s">
        <v>35</v>
      </c>
      <c r="N120" t="s">
        <v>56</v>
      </c>
    </row>
    <row r="121" spans="1:14" x14ac:dyDescent="0.35">
      <c r="A121" t="s">
        <v>471</v>
      </c>
      <c r="B121" t="s">
        <v>472</v>
      </c>
      <c r="D121" t="s">
        <v>473</v>
      </c>
      <c r="E121" t="s">
        <v>93</v>
      </c>
      <c r="F121" t="s">
        <v>41</v>
      </c>
      <c r="G121" t="s">
        <v>28</v>
      </c>
      <c r="H121" t="s">
        <v>63</v>
      </c>
      <c r="I121">
        <v>11</v>
      </c>
      <c r="J121">
        <v>627.73</v>
      </c>
      <c r="K121">
        <v>0.2</v>
      </c>
      <c r="L121">
        <v>898.97</v>
      </c>
      <c r="M121" t="s">
        <v>22</v>
      </c>
      <c r="N121" t="s">
        <v>23</v>
      </c>
    </row>
    <row r="122" spans="1:14" x14ac:dyDescent="0.35">
      <c r="A122" t="s">
        <v>474</v>
      </c>
      <c r="B122" t="s">
        <v>475</v>
      </c>
      <c r="C122" t="s">
        <v>476</v>
      </c>
      <c r="D122" t="s">
        <v>477</v>
      </c>
      <c r="E122" t="s">
        <v>93</v>
      </c>
      <c r="F122" t="s">
        <v>41</v>
      </c>
      <c r="G122" t="s">
        <v>28</v>
      </c>
      <c r="H122" t="s">
        <v>63</v>
      </c>
      <c r="I122">
        <v>13</v>
      </c>
      <c r="J122">
        <v>225.92</v>
      </c>
      <c r="K122">
        <v>0.2</v>
      </c>
      <c r="L122">
        <v>33.51</v>
      </c>
      <c r="M122" t="s">
        <v>69</v>
      </c>
      <c r="N122" t="s">
        <v>23</v>
      </c>
    </row>
    <row r="123" spans="1:14" x14ac:dyDescent="0.35">
      <c r="A123" t="s">
        <v>478</v>
      </c>
      <c r="B123" t="s">
        <v>479</v>
      </c>
      <c r="C123" t="s">
        <v>133</v>
      </c>
      <c r="D123" t="s">
        <v>480</v>
      </c>
      <c r="E123" t="s">
        <v>93</v>
      </c>
      <c r="F123" t="s">
        <v>62</v>
      </c>
      <c r="G123" t="s">
        <v>54</v>
      </c>
      <c r="H123" t="s">
        <v>68</v>
      </c>
      <c r="I123">
        <v>15</v>
      </c>
      <c r="J123">
        <v>1273.32</v>
      </c>
      <c r="K123" t="s">
        <v>21</v>
      </c>
      <c r="L123">
        <v>706.36</v>
      </c>
      <c r="M123" t="s">
        <v>69</v>
      </c>
      <c r="N123" t="s">
        <v>23</v>
      </c>
    </row>
    <row r="124" spans="1:14" x14ac:dyDescent="0.35">
      <c r="A124" t="s">
        <v>481</v>
      </c>
      <c r="B124" t="s">
        <v>482</v>
      </c>
      <c r="C124" t="s">
        <v>409</v>
      </c>
      <c r="D124" t="s">
        <v>483</v>
      </c>
      <c r="E124" t="s">
        <v>83</v>
      </c>
      <c r="F124" t="s">
        <v>41</v>
      </c>
      <c r="G124" t="s">
        <v>112</v>
      </c>
      <c r="H124" t="s">
        <v>88</v>
      </c>
      <c r="I124">
        <v>11</v>
      </c>
      <c r="J124">
        <v>1082.78</v>
      </c>
      <c r="K124" t="s">
        <v>21</v>
      </c>
      <c r="L124">
        <v>693.93</v>
      </c>
      <c r="M124" t="s">
        <v>35</v>
      </c>
      <c r="N124" t="s">
        <v>23</v>
      </c>
    </row>
    <row r="125" spans="1:14" x14ac:dyDescent="0.35">
      <c r="A125" t="s">
        <v>484</v>
      </c>
      <c r="B125" t="s">
        <v>485</v>
      </c>
      <c r="C125" t="s">
        <v>486</v>
      </c>
      <c r="D125" t="s">
        <v>487</v>
      </c>
      <c r="E125" t="s">
        <v>61</v>
      </c>
      <c r="F125" t="s">
        <v>94</v>
      </c>
      <c r="G125" t="s">
        <v>48</v>
      </c>
      <c r="H125" t="s">
        <v>158</v>
      </c>
      <c r="I125">
        <v>12</v>
      </c>
      <c r="J125">
        <v>722.31</v>
      </c>
      <c r="K125">
        <v>0.2</v>
      </c>
      <c r="L125">
        <v>934.62</v>
      </c>
      <c r="M125" t="s">
        <v>35</v>
      </c>
      <c r="N125" t="s">
        <v>23</v>
      </c>
    </row>
    <row r="126" spans="1:14" x14ac:dyDescent="0.35">
      <c r="A126" t="s">
        <v>488</v>
      </c>
      <c r="B126" t="s">
        <v>489</v>
      </c>
      <c r="C126" t="s">
        <v>175</v>
      </c>
      <c r="D126" t="s">
        <v>490</v>
      </c>
      <c r="E126" t="s">
        <v>18</v>
      </c>
      <c r="F126" t="s">
        <v>18</v>
      </c>
      <c r="G126" t="s">
        <v>48</v>
      </c>
      <c r="H126" t="s">
        <v>20</v>
      </c>
      <c r="I126">
        <v>15</v>
      </c>
      <c r="J126">
        <v>388.38</v>
      </c>
      <c r="K126" t="s">
        <v>21</v>
      </c>
      <c r="L126">
        <v>203.66</v>
      </c>
      <c r="M126" t="s">
        <v>49</v>
      </c>
      <c r="N126" t="s">
        <v>23</v>
      </c>
    </row>
    <row r="127" spans="1:14" x14ac:dyDescent="0.35">
      <c r="A127" t="s">
        <v>491</v>
      </c>
      <c r="B127" t="s">
        <v>492</v>
      </c>
      <c r="C127" t="s">
        <v>493</v>
      </c>
      <c r="D127" t="s">
        <v>494</v>
      </c>
      <c r="E127" t="s">
        <v>40</v>
      </c>
      <c r="F127" t="s">
        <v>94</v>
      </c>
      <c r="G127" t="s">
        <v>112</v>
      </c>
      <c r="H127" t="s">
        <v>20</v>
      </c>
      <c r="I127">
        <v>4</v>
      </c>
      <c r="J127">
        <v>622.89</v>
      </c>
      <c r="K127">
        <v>0.05</v>
      </c>
      <c r="L127">
        <v>102.34</v>
      </c>
      <c r="M127" t="s">
        <v>69</v>
      </c>
      <c r="N127" t="s">
        <v>56</v>
      </c>
    </row>
    <row r="128" spans="1:14" x14ac:dyDescent="0.35">
      <c r="A128" t="s">
        <v>495</v>
      </c>
      <c r="B128" t="s">
        <v>496</v>
      </c>
      <c r="C128" t="s">
        <v>147</v>
      </c>
      <c r="D128" t="s">
        <v>497</v>
      </c>
      <c r="E128" t="s">
        <v>40</v>
      </c>
      <c r="F128" t="s">
        <v>94</v>
      </c>
      <c r="G128" t="s">
        <v>112</v>
      </c>
      <c r="H128" t="s">
        <v>158</v>
      </c>
      <c r="I128">
        <v>1</v>
      </c>
      <c r="J128">
        <v>138.74</v>
      </c>
      <c r="K128">
        <v>0.2</v>
      </c>
      <c r="L128">
        <v>536.08000000000004</v>
      </c>
      <c r="M128" t="s">
        <v>22</v>
      </c>
      <c r="N128" t="s">
        <v>23</v>
      </c>
    </row>
    <row r="129" spans="1:14" x14ac:dyDescent="0.35">
      <c r="A129" t="s">
        <v>498</v>
      </c>
      <c r="B129" t="s">
        <v>499</v>
      </c>
      <c r="C129" t="s">
        <v>106</v>
      </c>
      <c r="D129" t="s">
        <v>480</v>
      </c>
      <c r="E129" t="s">
        <v>93</v>
      </c>
      <c r="F129" t="s">
        <v>18</v>
      </c>
      <c r="G129" t="s">
        <v>54</v>
      </c>
      <c r="H129" t="s">
        <v>55</v>
      </c>
      <c r="I129">
        <v>15</v>
      </c>
      <c r="J129">
        <v>61.01</v>
      </c>
      <c r="K129">
        <v>0.1</v>
      </c>
      <c r="L129">
        <v>603.58000000000004</v>
      </c>
      <c r="M129" t="s">
        <v>69</v>
      </c>
      <c r="N129" t="s">
        <v>23</v>
      </c>
    </row>
    <row r="130" spans="1:14" x14ac:dyDescent="0.35">
      <c r="A130" t="s">
        <v>500</v>
      </c>
      <c r="B130" t="s">
        <v>501</v>
      </c>
      <c r="C130" t="s">
        <v>77</v>
      </c>
      <c r="D130" t="s">
        <v>502</v>
      </c>
      <c r="E130" t="s">
        <v>83</v>
      </c>
      <c r="F130" t="s">
        <v>18</v>
      </c>
      <c r="G130" t="s">
        <v>112</v>
      </c>
      <c r="H130" t="s">
        <v>20</v>
      </c>
      <c r="I130">
        <v>8</v>
      </c>
      <c r="K130">
        <v>0.1</v>
      </c>
      <c r="L130">
        <v>338.44</v>
      </c>
      <c r="M130" t="s">
        <v>69</v>
      </c>
      <c r="N130" t="s">
        <v>56</v>
      </c>
    </row>
    <row r="131" spans="1:14" x14ac:dyDescent="0.35">
      <c r="A131" t="s">
        <v>503</v>
      </c>
      <c r="B131" t="s">
        <v>504</v>
      </c>
      <c r="C131" t="s">
        <v>81</v>
      </c>
      <c r="D131" t="s">
        <v>505</v>
      </c>
      <c r="E131" t="s">
        <v>144</v>
      </c>
      <c r="F131" t="s">
        <v>41</v>
      </c>
      <c r="G131" t="s">
        <v>28</v>
      </c>
      <c r="H131" t="s">
        <v>63</v>
      </c>
      <c r="I131">
        <v>3</v>
      </c>
      <c r="K131" t="s">
        <v>42</v>
      </c>
      <c r="L131">
        <v>384.81</v>
      </c>
      <c r="M131" t="s">
        <v>49</v>
      </c>
      <c r="N131" t="s">
        <v>23</v>
      </c>
    </row>
    <row r="132" spans="1:14" x14ac:dyDescent="0.35">
      <c r="A132" t="s">
        <v>506</v>
      </c>
      <c r="B132" t="s">
        <v>507</v>
      </c>
      <c r="C132" t="s">
        <v>416</v>
      </c>
      <c r="D132" t="s">
        <v>508</v>
      </c>
      <c r="E132" t="s">
        <v>18</v>
      </c>
      <c r="F132" t="s">
        <v>41</v>
      </c>
      <c r="G132" t="s">
        <v>48</v>
      </c>
      <c r="H132" t="s">
        <v>135</v>
      </c>
      <c r="I132">
        <v>3</v>
      </c>
      <c r="J132">
        <v>756.27</v>
      </c>
      <c r="K132">
        <v>0.1</v>
      </c>
      <c r="L132">
        <v>704.15</v>
      </c>
      <c r="M132" t="s">
        <v>22</v>
      </c>
      <c r="N132" t="s">
        <v>23</v>
      </c>
    </row>
    <row r="133" spans="1:14" x14ac:dyDescent="0.35">
      <c r="A133" t="s">
        <v>509</v>
      </c>
      <c r="B133" t="s">
        <v>510</v>
      </c>
      <c r="C133" t="s">
        <v>344</v>
      </c>
      <c r="D133" t="s">
        <v>511</v>
      </c>
      <c r="E133" t="s">
        <v>17</v>
      </c>
      <c r="F133" t="s">
        <v>62</v>
      </c>
      <c r="G133" t="s">
        <v>112</v>
      </c>
      <c r="H133" t="s">
        <v>88</v>
      </c>
      <c r="I133">
        <v>6</v>
      </c>
      <c r="J133">
        <v>826.11</v>
      </c>
      <c r="K133">
        <v>0.2</v>
      </c>
      <c r="L133">
        <v>538.44000000000005</v>
      </c>
      <c r="M133" t="s">
        <v>69</v>
      </c>
      <c r="N133" t="s">
        <v>23</v>
      </c>
    </row>
    <row r="134" spans="1:14" x14ac:dyDescent="0.35">
      <c r="A134" t="s">
        <v>512</v>
      </c>
      <c r="B134" t="s">
        <v>513</v>
      </c>
      <c r="C134" t="s">
        <v>327</v>
      </c>
      <c r="D134" t="s">
        <v>514</v>
      </c>
      <c r="E134" t="s">
        <v>93</v>
      </c>
      <c r="F134" t="s">
        <v>103</v>
      </c>
      <c r="G134" t="s">
        <v>19</v>
      </c>
      <c r="H134" t="s">
        <v>20</v>
      </c>
      <c r="I134">
        <v>4</v>
      </c>
      <c r="J134">
        <v>229.03</v>
      </c>
      <c r="K134">
        <v>0</v>
      </c>
      <c r="L134">
        <v>521.29999999999995</v>
      </c>
      <c r="M134" t="s">
        <v>69</v>
      </c>
      <c r="N134" t="s">
        <v>23</v>
      </c>
    </row>
    <row r="135" spans="1:14" x14ac:dyDescent="0.35">
      <c r="A135" t="s">
        <v>515</v>
      </c>
      <c r="B135" t="s">
        <v>516</v>
      </c>
      <c r="C135" t="s">
        <v>517</v>
      </c>
      <c r="D135" t="s">
        <v>518</v>
      </c>
      <c r="E135" t="s">
        <v>17</v>
      </c>
      <c r="F135" t="s">
        <v>103</v>
      </c>
      <c r="G135" t="s">
        <v>54</v>
      </c>
      <c r="H135" t="s">
        <v>74</v>
      </c>
      <c r="I135">
        <v>9</v>
      </c>
      <c r="J135">
        <v>1211.3399999999999</v>
      </c>
      <c r="K135">
        <v>0</v>
      </c>
      <c r="L135">
        <v>397.16</v>
      </c>
      <c r="M135" t="s">
        <v>69</v>
      </c>
      <c r="N135" t="s">
        <v>23</v>
      </c>
    </row>
    <row r="136" spans="1:14" x14ac:dyDescent="0.35">
      <c r="A136" t="s">
        <v>519</v>
      </c>
      <c r="B136" t="s">
        <v>520</v>
      </c>
      <c r="C136" t="s">
        <v>449</v>
      </c>
      <c r="D136" t="s">
        <v>521</v>
      </c>
      <c r="E136" t="s">
        <v>144</v>
      </c>
      <c r="F136" t="s">
        <v>94</v>
      </c>
      <c r="G136" t="s">
        <v>19</v>
      </c>
      <c r="H136" t="s">
        <v>20</v>
      </c>
      <c r="I136">
        <v>-8</v>
      </c>
      <c r="J136">
        <v>616.26</v>
      </c>
      <c r="K136">
        <v>0.2</v>
      </c>
      <c r="L136">
        <v>766.3</v>
      </c>
      <c r="M136" t="s">
        <v>69</v>
      </c>
      <c r="N136" t="s">
        <v>56</v>
      </c>
    </row>
    <row r="137" spans="1:14" x14ac:dyDescent="0.35">
      <c r="A137" t="s">
        <v>522</v>
      </c>
      <c r="B137" t="s">
        <v>523</v>
      </c>
      <c r="C137" t="s">
        <v>156</v>
      </c>
      <c r="D137" t="s">
        <v>524</v>
      </c>
      <c r="E137" t="s">
        <v>83</v>
      </c>
      <c r="F137" t="s">
        <v>103</v>
      </c>
      <c r="G137" t="s">
        <v>54</v>
      </c>
      <c r="H137" t="s">
        <v>74</v>
      </c>
      <c r="I137">
        <v>3</v>
      </c>
      <c r="J137">
        <v>524.91999999999996</v>
      </c>
      <c r="K137" t="s">
        <v>21</v>
      </c>
      <c r="L137">
        <v>538.17999999999995</v>
      </c>
      <c r="M137" t="s">
        <v>49</v>
      </c>
      <c r="N137" t="s">
        <v>23</v>
      </c>
    </row>
    <row r="138" spans="1:14" x14ac:dyDescent="0.35">
      <c r="A138" t="s">
        <v>525</v>
      </c>
      <c r="B138" t="s">
        <v>210</v>
      </c>
      <c r="C138" t="s">
        <v>310</v>
      </c>
      <c r="D138" t="s">
        <v>526</v>
      </c>
      <c r="E138" t="s">
        <v>61</v>
      </c>
      <c r="F138" t="s">
        <v>62</v>
      </c>
      <c r="G138" t="s">
        <v>54</v>
      </c>
      <c r="H138" t="s">
        <v>68</v>
      </c>
      <c r="I138">
        <v>14</v>
      </c>
      <c r="J138">
        <v>693.63</v>
      </c>
      <c r="K138">
        <v>0.2</v>
      </c>
      <c r="L138">
        <v>190.1</v>
      </c>
      <c r="M138" t="s">
        <v>49</v>
      </c>
      <c r="N138" t="s">
        <v>23</v>
      </c>
    </row>
    <row r="139" spans="1:14" x14ac:dyDescent="0.35">
      <c r="A139" t="s">
        <v>527</v>
      </c>
      <c r="B139" t="s">
        <v>218</v>
      </c>
      <c r="C139" t="s">
        <v>246</v>
      </c>
      <c r="D139" t="s">
        <v>528</v>
      </c>
      <c r="E139" t="s">
        <v>47</v>
      </c>
      <c r="F139" t="s">
        <v>18</v>
      </c>
      <c r="G139" t="s">
        <v>112</v>
      </c>
      <c r="H139" t="s">
        <v>20</v>
      </c>
      <c r="I139">
        <v>11</v>
      </c>
      <c r="J139">
        <v>77.77</v>
      </c>
      <c r="K139">
        <v>0.05</v>
      </c>
      <c r="L139">
        <v>403.46</v>
      </c>
      <c r="M139" t="s">
        <v>35</v>
      </c>
      <c r="N139" t="s">
        <v>23</v>
      </c>
    </row>
    <row r="140" spans="1:14" x14ac:dyDescent="0.35">
      <c r="A140" t="s">
        <v>529</v>
      </c>
      <c r="B140" t="s">
        <v>530</v>
      </c>
      <c r="C140" t="s">
        <v>226</v>
      </c>
      <c r="D140" t="s">
        <v>531</v>
      </c>
      <c r="E140" t="s">
        <v>40</v>
      </c>
      <c r="F140" t="s">
        <v>34</v>
      </c>
      <c r="G140" t="s">
        <v>28</v>
      </c>
      <c r="H140" t="s">
        <v>63</v>
      </c>
      <c r="I140">
        <v>6</v>
      </c>
      <c r="J140">
        <v>1315.01</v>
      </c>
      <c r="K140" t="s">
        <v>42</v>
      </c>
      <c r="L140">
        <v>522.21</v>
      </c>
      <c r="M140" t="s">
        <v>69</v>
      </c>
      <c r="N140" t="s">
        <v>56</v>
      </c>
    </row>
    <row r="141" spans="1:14" x14ac:dyDescent="0.35">
      <c r="A141" t="s">
        <v>532</v>
      </c>
      <c r="B141" t="s">
        <v>533</v>
      </c>
      <c r="C141" t="s">
        <v>91</v>
      </c>
      <c r="D141" t="s">
        <v>534</v>
      </c>
      <c r="E141" t="s">
        <v>83</v>
      </c>
      <c r="F141" t="s">
        <v>41</v>
      </c>
      <c r="G141" t="s">
        <v>19</v>
      </c>
      <c r="H141" t="s">
        <v>158</v>
      </c>
      <c r="I141">
        <v>9</v>
      </c>
      <c r="J141">
        <v>627.41</v>
      </c>
      <c r="K141" t="s">
        <v>21</v>
      </c>
      <c r="L141">
        <v>377.71</v>
      </c>
      <c r="M141" t="s">
        <v>22</v>
      </c>
      <c r="N141" t="s">
        <v>56</v>
      </c>
    </row>
    <row r="142" spans="1:14" x14ac:dyDescent="0.35">
      <c r="A142" t="s">
        <v>535</v>
      </c>
      <c r="B142" t="s">
        <v>536</v>
      </c>
      <c r="C142" t="s">
        <v>537</v>
      </c>
      <c r="D142" t="s">
        <v>538</v>
      </c>
      <c r="E142" t="s">
        <v>83</v>
      </c>
      <c r="F142" t="s">
        <v>103</v>
      </c>
      <c r="G142" t="s">
        <v>19</v>
      </c>
      <c r="H142" t="s">
        <v>88</v>
      </c>
      <c r="I142">
        <v>7</v>
      </c>
      <c r="J142">
        <v>308.99</v>
      </c>
      <c r="K142">
        <v>0.1</v>
      </c>
      <c r="L142">
        <v>922.38</v>
      </c>
      <c r="M142" t="s">
        <v>35</v>
      </c>
      <c r="N142" t="s">
        <v>56</v>
      </c>
    </row>
    <row r="143" spans="1:14" x14ac:dyDescent="0.35">
      <c r="A143" t="s">
        <v>539</v>
      </c>
      <c r="B143" t="s">
        <v>540</v>
      </c>
      <c r="C143" t="s">
        <v>226</v>
      </c>
      <c r="D143" t="s">
        <v>541</v>
      </c>
      <c r="E143" t="s">
        <v>47</v>
      </c>
      <c r="F143" t="s">
        <v>18</v>
      </c>
      <c r="G143" t="s">
        <v>28</v>
      </c>
      <c r="H143" t="s">
        <v>153</v>
      </c>
      <c r="I143">
        <v>13</v>
      </c>
      <c r="J143">
        <v>1008.82</v>
      </c>
      <c r="K143">
        <v>0.1</v>
      </c>
      <c r="L143">
        <v>210.47</v>
      </c>
      <c r="M143" t="s">
        <v>22</v>
      </c>
      <c r="N143" t="s">
        <v>23</v>
      </c>
    </row>
    <row r="144" spans="1:14" x14ac:dyDescent="0.35">
      <c r="A144" t="s">
        <v>542</v>
      </c>
      <c r="B144" t="s">
        <v>543</v>
      </c>
      <c r="C144" t="s">
        <v>306</v>
      </c>
      <c r="D144" t="s">
        <v>544</v>
      </c>
      <c r="E144" t="s">
        <v>144</v>
      </c>
      <c r="F144" t="s">
        <v>62</v>
      </c>
      <c r="G144" t="s">
        <v>54</v>
      </c>
      <c r="H144" t="s">
        <v>74</v>
      </c>
      <c r="I144">
        <v>15</v>
      </c>
      <c r="J144">
        <v>485.81</v>
      </c>
      <c r="K144">
        <v>0.2</v>
      </c>
      <c r="L144">
        <v>467.32</v>
      </c>
      <c r="M144" t="s">
        <v>69</v>
      </c>
      <c r="N144" t="s">
        <v>56</v>
      </c>
    </row>
    <row r="145" spans="1:14" x14ac:dyDescent="0.35">
      <c r="A145" t="s">
        <v>545</v>
      </c>
      <c r="B145" t="s">
        <v>546</v>
      </c>
      <c r="C145" t="s">
        <v>294</v>
      </c>
      <c r="D145" t="s">
        <v>547</v>
      </c>
      <c r="E145" t="s">
        <v>61</v>
      </c>
      <c r="F145" t="s">
        <v>41</v>
      </c>
      <c r="G145" t="s">
        <v>19</v>
      </c>
      <c r="H145" t="s">
        <v>88</v>
      </c>
      <c r="I145">
        <v>6</v>
      </c>
      <c r="J145">
        <v>73.34</v>
      </c>
      <c r="K145">
        <v>0</v>
      </c>
      <c r="L145">
        <v>741.77</v>
      </c>
      <c r="M145" t="s">
        <v>22</v>
      </c>
      <c r="N145" t="s">
        <v>23</v>
      </c>
    </row>
    <row r="146" spans="1:14" x14ac:dyDescent="0.35">
      <c r="A146" t="s">
        <v>548</v>
      </c>
      <c r="B146" t="s">
        <v>549</v>
      </c>
      <c r="C146" t="s">
        <v>449</v>
      </c>
      <c r="D146" t="s">
        <v>550</v>
      </c>
      <c r="E146" t="s">
        <v>93</v>
      </c>
      <c r="F146" t="s">
        <v>18</v>
      </c>
      <c r="G146" t="s">
        <v>48</v>
      </c>
      <c r="H146" t="s">
        <v>135</v>
      </c>
      <c r="I146">
        <v>9</v>
      </c>
      <c r="J146">
        <v>1028.8499999999999</v>
      </c>
      <c r="K146">
        <v>0.2</v>
      </c>
      <c r="L146">
        <v>821.95</v>
      </c>
      <c r="M146" t="s">
        <v>35</v>
      </c>
      <c r="N146" t="s">
        <v>23</v>
      </c>
    </row>
    <row r="147" spans="1:14" x14ac:dyDescent="0.35">
      <c r="A147" t="s">
        <v>551</v>
      </c>
      <c r="B147" t="s">
        <v>552</v>
      </c>
      <c r="C147" t="s">
        <v>101</v>
      </c>
      <c r="D147" t="s">
        <v>553</v>
      </c>
      <c r="E147" t="s">
        <v>61</v>
      </c>
      <c r="F147" t="s">
        <v>18</v>
      </c>
      <c r="G147" t="s">
        <v>112</v>
      </c>
      <c r="H147" t="s">
        <v>88</v>
      </c>
      <c r="I147">
        <v>11</v>
      </c>
      <c r="J147">
        <v>788.3</v>
      </c>
      <c r="K147">
        <v>0.2</v>
      </c>
      <c r="L147">
        <v>76.180000000000007</v>
      </c>
      <c r="M147" t="s">
        <v>22</v>
      </c>
      <c r="N147" t="s">
        <v>23</v>
      </c>
    </row>
    <row r="148" spans="1:14" x14ac:dyDescent="0.35">
      <c r="A148" t="s">
        <v>554</v>
      </c>
      <c r="B148" t="s">
        <v>555</v>
      </c>
      <c r="C148" t="s">
        <v>493</v>
      </c>
      <c r="D148" t="s">
        <v>556</v>
      </c>
      <c r="E148" t="s">
        <v>61</v>
      </c>
      <c r="F148" t="s">
        <v>103</v>
      </c>
      <c r="G148" t="s">
        <v>112</v>
      </c>
      <c r="H148" t="s">
        <v>20</v>
      </c>
      <c r="I148">
        <v>10</v>
      </c>
      <c r="J148">
        <v>1401.19</v>
      </c>
      <c r="K148">
        <v>0</v>
      </c>
      <c r="L148">
        <v>659.97</v>
      </c>
      <c r="M148" t="s">
        <v>49</v>
      </c>
      <c r="N148" t="s">
        <v>23</v>
      </c>
    </row>
    <row r="149" spans="1:14" x14ac:dyDescent="0.35">
      <c r="A149" t="s">
        <v>557</v>
      </c>
      <c r="B149" t="s">
        <v>401</v>
      </c>
      <c r="C149" t="s">
        <v>558</v>
      </c>
      <c r="D149" t="s">
        <v>559</v>
      </c>
      <c r="E149" t="s">
        <v>18</v>
      </c>
      <c r="F149" t="s">
        <v>41</v>
      </c>
      <c r="G149" t="s">
        <v>28</v>
      </c>
      <c r="H149" t="s">
        <v>63</v>
      </c>
      <c r="I149">
        <v>7</v>
      </c>
      <c r="J149">
        <v>1365.11</v>
      </c>
      <c r="K149">
        <v>0.05</v>
      </c>
      <c r="L149">
        <v>98.12</v>
      </c>
      <c r="M149" t="s">
        <v>35</v>
      </c>
      <c r="N149" t="s">
        <v>56</v>
      </c>
    </row>
    <row r="150" spans="1:14" x14ac:dyDescent="0.35">
      <c r="A150" t="s">
        <v>560</v>
      </c>
      <c r="B150" t="s">
        <v>561</v>
      </c>
      <c r="D150" t="s">
        <v>562</v>
      </c>
      <c r="E150" t="s">
        <v>61</v>
      </c>
      <c r="F150" t="s">
        <v>94</v>
      </c>
      <c r="G150" t="s">
        <v>19</v>
      </c>
      <c r="H150" t="s">
        <v>158</v>
      </c>
      <c r="I150">
        <v>12</v>
      </c>
      <c r="J150">
        <v>1027.6400000000001</v>
      </c>
      <c r="K150">
        <v>0.2</v>
      </c>
      <c r="L150">
        <v>654.42999999999995</v>
      </c>
      <c r="M150" t="s">
        <v>69</v>
      </c>
      <c r="N150" t="s">
        <v>56</v>
      </c>
    </row>
    <row r="151" spans="1:14" x14ac:dyDescent="0.35">
      <c r="A151" t="s">
        <v>563</v>
      </c>
      <c r="B151" t="s">
        <v>564</v>
      </c>
      <c r="C151" t="s">
        <v>377</v>
      </c>
      <c r="D151" t="s">
        <v>565</v>
      </c>
      <c r="E151" t="s">
        <v>83</v>
      </c>
      <c r="F151" t="s">
        <v>18</v>
      </c>
      <c r="G151" t="s">
        <v>19</v>
      </c>
      <c r="H151" t="s">
        <v>20</v>
      </c>
      <c r="I151">
        <v>8</v>
      </c>
      <c r="J151">
        <v>969.14</v>
      </c>
      <c r="K151">
        <v>0</v>
      </c>
      <c r="L151">
        <v>977.37</v>
      </c>
      <c r="M151" t="s">
        <v>69</v>
      </c>
      <c r="N151" t="s">
        <v>23</v>
      </c>
    </row>
    <row r="152" spans="1:14" x14ac:dyDescent="0.35">
      <c r="A152" t="s">
        <v>566</v>
      </c>
      <c r="B152" t="s">
        <v>567</v>
      </c>
      <c r="C152" t="s">
        <v>204</v>
      </c>
      <c r="D152" t="s">
        <v>568</v>
      </c>
      <c r="E152" t="s">
        <v>61</v>
      </c>
      <c r="F152" t="s">
        <v>103</v>
      </c>
      <c r="G152" t="s">
        <v>19</v>
      </c>
      <c r="H152" t="s">
        <v>20</v>
      </c>
      <c r="I152">
        <v>10</v>
      </c>
      <c r="J152">
        <v>273.13</v>
      </c>
      <c r="K152">
        <v>0.05</v>
      </c>
      <c r="L152">
        <v>17.63</v>
      </c>
      <c r="M152" t="s">
        <v>35</v>
      </c>
      <c r="N152" t="s">
        <v>23</v>
      </c>
    </row>
    <row r="153" spans="1:14" x14ac:dyDescent="0.35">
      <c r="A153" t="s">
        <v>569</v>
      </c>
      <c r="B153" t="s">
        <v>570</v>
      </c>
      <c r="C153" t="s">
        <v>151</v>
      </c>
      <c r="D153" t="s">
        <v>571</v>
      </c>
      <c r="E153" t="s">
        <v>144</v>
      </c>
      <c r="F153" t="s">
        <v>103</v>
      </c>
      <c r="G153" t="s">
        <v>28</v>
      </c>
      <c r="H153" t="s">
        <v>29</v>
      </c>
      <c r="I153">
        <v>15</v>
      </c>
      <c r="J153">
        <v>578.85</v>
      </c>
      <c r="K153">
        <v>0.2</v>
      </c>
      <c r="L153">
        <v>790.92</v>
      </c>
      <c r="M153" t="s">
        <v>49</v>
      </c>
      <c r="N153" t="s">
        <v>56</v>
      </c>
    </row>
    <row r="154" spans="1:14" x14ac:dyDescent="0.35">
      <c r="A154" t="s">
        <v>572</v>
      </c>
      <c r="B154" t="s">
        <v>573</v>
      </c>
      <c r="C154" t="s">
        <v>182</v>
      </c>
      <c r="D154" t="s">
        <v>574</v>
      </c>
      <c r="E154" t="s">
        <v>61</v>
      </c>
      <c r="F154" t="s">
        <v>94</v>
      </c>
      <c r="G154" t="s">
        <v>112</v>
      </c>
      <c r="H154" t="s">
        <v>20</v>
      </c>
      <c r="I154">
        <v>10</v>
      </c>
      <c r="K154" t="s">
        <v>42</v>
      </c>
      <c r="L154">
        <v>274.77999999999997</v>
      </c>
      <c r="M154" t="s">
        <v>22</v>
      </c>
      <c r="N154" t="s">
        <v>56</v>
      </c>
    </row>
    <row r="155" spans="1:14" x14ac:dyDescent="0.35">
      <c r="A155" t="s">
        <v>575</v>
      </c>
      <c r="B155" t="s">
        <v>576</v>
      </c>
      <c r="C155" t="s">
        <v>369</v>
      </c>
      <c r="D155" t="s">
        <v>577</v>
      </c>
      <c r="E155" t="s">
        <v>17</v>
      </c>
      <c r="F155" t="s">
        <v>103</v>
      </c>
      <c r="G155" t="s">
        <v>19</v>
      </c>
      <c r="H155" t="s">
        <v>158</v>
      </c>
      <c r="I155">
        <v>2</v>
      </c>
      <c r="J155">
        <v>235.56</v>
      </c>
      <c r="K155">
        <v>0.2</v>
      </c>
      <c r="L155">
        <v>634.63</v>
      </c>
      <c r="M155" t="s">
        <v>49</v>
      </c>
      <c r="N155" t="s">
        <v>23</v>
      </c>
    </row>
    <row r="156" spans="1:14" x14ac:dyDescent="0.35">
      <c r="A156" t="s">
        <v>578</v>
      </c>
      <c r="B156" t="s">
        <v>579</v>
      </c>
      <c r="C156" t="s">
        <v>580</v>
      </c>
      <c r="D156" t="s">
        <v>581</v>
      </c>
      <c r="E156" t="s">
        <v>17</v>
      </c>
      <c r="F156" t="s">
        <v>62</v>
      </c>
      <c r="G156" t="s">
        <v>54</v>
      </c>
      <c r="H156" t="s">
        <v>55</v>
      </c>
      <c r="I156">
        <v>3</v>
      </c>
      <c r="J156">
        <v>649.30999999999995</v>
      </c>
      <c r="K156">
        <v>0</v>
      </c>
      <c r="L156">
        <v>513.41999999999996</v>
      </c>
      <c r="M156" t="s">
        <v>35</v>
      </c>
      <c r="N156" t="s">
        <v>56</v>
      </c>
    </row>
    <row r="157" spans="1:14" x14ac:dyDescent="0.35">
      <c r="A157" t="s">
        <v>582</v>
      </c>
      <c r="B157" t="s">
        <v>326</v>
      </c>
      <c r="C157" t="s">
        <v>32</v>
      </c>
      <c r="D157" t="s">
        <v>288</v>
      </c>
      <c r="E157" t="s">
        <v>18</v>
      </c>
      <c r="F157" t="s">
        <v>41</v>
      </c>
      <c r="G157" t="s">
        <v>19</v>
      </c>
      <c r="H157" t="s">
        <v>158</v>
      </c>
      <c r="I157">
        <v>15</v>
      </c>
      <c r="J157">
        <v>1489.13</v>
      </c>
      <c r="K157">
        <v>0.2</v>
      </c>
      <c r="L157">
        <v>522.05999999999995</v>
      </c>
      <c r="M157" t="s">
        <v>35</v>
      </c>
      <c r="N157" t="s">
        <v>56</v>
      </c>
    </row>
    <row r="158" spans="1:14" x14ac:dyDescent="0.35">
      <c r="A158" t="s">
        <v>583</v>
      </c>
      <c r="B158" t="s">
        <v>584</v>
      </c>
      <c r="C158" t="s">
        <v>585</v>
      </c>
      <c r="D158" t="s">
        <v>586</v>
      </c>
      <c r="E158" t="s">
        <v>93</v>
      </c>
      <c r="F158" t="s">
        <v>103</v>
      </c>
      <c r="G158" t="s">
        <v>112</v>
      </c>
      <c r="H158" t="s">
        <v>20</v>
      </c>
      <c r="I158">
        <v>8</v>
      </c>
      <c r="J158">
        <v>544.88</v>
      </c>
      <c r="K158" t="s">
        <v>42</v>
      </c>
      <c r="L158">
        <v>721.46</v>
      </c>
      <c r="M158" t="s">
        <v>22</v>
      </c>
      <c r="N158" t="s">
        <v>23</v>
      </c>
    </row>
    <row r="159" spans="1:14" x14ac:dyDescent="0.35">
      <c r="A159" t="s">
        <v>587</v>
      </c>
      <c r="B159" t="s">
        <v>588</v>
      </c>
      <c r="C159" t="s">
        <v>589</v>
      </c>
      <c r="D159" t="s">
        <v>590</v>
      </c>
      <c r="E159" t="s">
        <v>83</v>
      </c>
      <c r="F159" t="s">
        <v>94</v>
      </c>
      <c r="G159" t="s">
        <v>19</v>
      </c>
      <c r="H159" t="s">
        <v>88</v>
      </c>
      <c r="I159">
        <v>14</v>
      </c>
      <c r="J159">
        <v>505.43</v>
      </c>
      <c r="K159" t="s">
        <v>21</v>
      </c>
      <c r="L159">
        <v>859.79</v>
      </c>
      <c r="M159" t="s">
        <v>35</v>
      </c>
      <c r="N159" t="s">
        <v>23</v>
      </c>
    </row>
    <row r="160" spans="1:14" x14ac:dyDescent="0.35">
      <c r="A160" t="s">
        <v>591</v>
      </c>
      <c r="B160" t="s">
        <v>592</v>
      </c>
      <c r="C160" t="s">
        <v>476</v>
      </c>
      <c r="D160" t="s">
        <v>593</v>
      </c>
      <c r="E160" t="s">
        <v>83</v>
      </c>
      <c r="F160" t="s">
        <v>62</v>
      </c>
      <c r="G160" t="s">
        <v>54</v>
      </c>
      <c r="H160" t="s">
        <v>55</v>
      </c>
      <c r="I160">
        <v>10</v>
      </c>
      <c r="J160">
        <v>492.2</v>
      </c>
      <c r="K160">
        <v>0.1</v>
      </c>
      <c r="L160">
        <v>786.29</v>
      </c>
      <c r="M160" t="s">
        <v>22</v>
      </c>
      <c r="N160" t="s">
        <v>23</v>
      </c>
    </row>
    <row r="161" spans="1:14" x14ac:dyDescent="0.35">
      <c r="A161" t="s">
        <v>594</v>
      </c>
      <c r="B161" t="s">
        <v>595</v>
      </c>
      <c r="C161" t="s">
        <v>38</v>
      </c>
      <c r="D161" t="s">
        <v>596</v>
      </c>
      <c r="E161" t="s">
        <v>18</v>
      </c>
      <c r="F161" t="s">
        <v>34</v>
      </c>
      <c r="G161" t="s">
        <v>54</v>
      </c>
      <c r="H161" t="s">
        <v>68</v>
      </c>
      <c r="I161">
        <v>12</v>
      </c>
      <c r="J161">
        <v>1272.44</v>
      </c>
      <c r="K161">
        <v>0.05</v>
      </c>
      <c r="L161">
        <v>673.63</v>
      </c>
      <c r="M161" t="s">
        <v>22</v>
      </c>
      <c r="N161" t="s">
        <v>56</v>
      </c>
    </row>
    <row r="162" spans="1:14" x14ac:dyDescent="0.35">
      <c r="A162" t="s">
        <v>597</v>
      </c>
      <c r="B162" t="s">
        <v>598</v>
      </c>
      <c r="C162" t="s">
        <v>353</v>
      </c>
      <c r="D162" t="s">
        <v>599</v>
      </c>
      <c r="E162" t="s">
        <v>17</v>
      </c>
      <c r="F162" t="s">
        <v>103</v>
      </c>
      <c r="G162" t="s">
        <v>54</v>
      </c>
      <c r="H162" t="s">
        <v>74</v>
      </c>
      <c r="I162">
        <v>7</v>
      </c>
      <c r="J162">
        <v>1385.63</v>
      </c>
      <c r="K162">
        <v>0</v>
      </c>
      <c r="L162">
        <v>419.46</v>
      </c>
      <c r="M162" t="s">
        <v>22</v>
      </c>
      <c r="N162" t="s">
        <v>23</v>
      </c>
    </row>
    <row r="163" spans="1:14" x14ac:dyDescent="0.35">
      <c r="A163" t="s">
        <v>600</v>
      </c>
      <c r="B163" t="s">
        <v>601</v>
      </c>
      <c r="C163" t="s">
        <v>294</v>
      </c>
      <c r="D163" t="s">
        <v>602</v>
      </c>
      <c r="E163" t="s">
        <v>83</v>
      </c>
      <c r="F163" t="s">
        <v>94</v>
      </c>
      <c r="G163" t="s">
        <v>112</v>
      </c>
      <c r="H163" t="s">
        <v>20</v>
      </c>
      <c r="I163">
        <v>7</v>
      </c>
      <c r="J163">
        <v>500.74</v>
      </c>
      <c r="K163">
        <v>0</v>
      </c>
      <c r="L163">
        <v>107.73</v>
      </c>
      <c r="M163" t="s">
        <v>35</v>
      </c>
      <c r="N163" t="s">
        <v>56</v>
      </c>
    </row>
    <row r="164" spans="1:14" x14ac:dyDescent="0.35">
      <c r="A164" t="s">
        <v>603</v>
      </c>
      <c r="B164" t="s">
        <v>604</v>
      </c>
      <c r="C164" t="s">
        <v>605</v>
      </c>
      <c r="D164" t="s">
        <v>606</v>
      </c>
      <c r="E164" t="s">
        <v>144</v>
      </c>
      <c r="F164" t="s">
        <v>94</v>
      </c>
      <c r="G164" t="s">
        <v>54</v>
      </c>
      <c r="H164" t="s">
        <v>68</v>
      </c>
      <c r="I164">
        <v>1</v>
      </c>
      <c r="J164">
        <v>446.67</v>
      </c>
      <c r="K164">
        <v>0.2</v>
      </c>
      <c r="L164">
        <v>87.68</v>
      </c>
      <c r="M164" t="s">
        <v>22</v>
      </c>
      <c r="N164" t="s">
        <v>56</v>
      </c>
    </row>
    <row r="165" spans="1:14" x14ac:dyDescent="0.35">
      <c r="A165" t="s">
        <v>607</v>
      </c>
      <c r="B165" t="s">
        <v>608</v>
      </c>
      <c r="C165" t="s">
        <v>449</v>
      </c>
      <c r="D165" t="s">
        <v>609</v>
      </c>
      <c r="E165" t="s">
        <v>40</v>
      </c>
      <c r="F165" t="s">
        <v>34</v>
      </c>
      <c r="G165" t="s">
        <v>48</v>
      </c>
      <c r="H165" t="s">
        <v>88</v>
      </c>
      <c r="I165">
        <v>6</v>
      </c>
      <c r="J165">
        <v>71.8</v>
      </c>
      <c r="K165">
        <v>0.1</v>
      </c>
      <c r="L165">
        <v>24.54</v>
      </c>
      <c r="M165" t="s">
        <v>22</v>
      </c>
      <c r="N165" t="s">
        <v>23</v>
      </c>
    </row>
    <row r="166" spans="1:14" x14ac:dyDescent="0.35">
      <c r="A166" t="s">
        <v>610</v>
      </c>
      <c r="B166" t="s">
        <v>611</v>
      </c>
      <c r="C166" t="s">
        <v>580</v>
      </c>
      <c r="D166" t="s">
        <v>612</v>
      </c>
      <c r="E166" t="s">
        <v>83</v>
      </c>
      <c r="F166" t="s">
        <v>94</v>
      </c>
      <c r="G166" t="s">
        <v>28</v>
      </c>
      <c r="H166" t="s">
        <v>29</v>
      </c>
      <c r="I166">
        <v>4</v>
      </c>
      <c r="J166">
        <v>946.49</v>
      </c>
      <c r="K166" t="s">
        <v>42</v>
      </c>
      <c r="L166">
        <v>657.99</v>
      </c>
      <c r="M166" t="s">
        <v>69</v>
      </c>
      <c r="N166" t="s">
        <v>56</v>
      </c>
    </row>
    <row r="167" spans="1:14" x14ac:dyDescent="0.35">
      <c r="A167" t="s">
        <v>613</v>
      </c>
      <c r="B167" t="s">
        <v>614</v>
      </c>
      <c r="C167" t="s">
        <v>353</v>
      </c>
      <c r="D167" t="s">
        <v>615</v>
      </c>
      <c r="E167" t="s">
        <v>93</v>
      </c>
      <c r="F167" t="s">
        <v>103</v>
      </c>
      <c r="G167" t="s">
        <v>19</v>
      </c>
      <c r="H167" t="s">
        <v>135</v>
      </c>
      <c r="I167">
        <v>12</v>
      </c>
      <c r="J167">
        <v>98.53</v>
      </c>
      <c r="K167">
        <v>0.05</v>
      </c>
      <c r="L167">
        <v>872.24</v>
      </c>
      <c r="M167" t="s">
        <v>35</v>
      </c>
      <c r="N167" t="s">
        <v>56</v>
      </c>
    </row>
    <row r="168" spans="1:14" x14ac:dyDescent="0.35">
      <c r="A168" t="s">
        <v>616</v>
      </c>
      <c r="B168" t="s">
        <v>617</v>
      </c>
      <c r="C168" t="s">
        <v>618</v>
      </c>
      <c r="D168" t="s">
        <v>619</v>
      </c>
      <c r="E168" t="s">
        <v>17</v>
      </c>
      <c r="F168" t="s">
        <v>34</v>
      </c>
      <c r="G168" t="s">
        <v>28</v>
      </c>
      <c r="H168" t="s">
        <v>153</v>
      </c>
      <c r="I168">
        <v>10</v>
      </c>
      <c r="J168">
        <v>531.22</v>
      </c>
      <c r="K168">
        <v>0.2</v>
      </c>
      <c r="L168">
        <v>174.18</v>
      </c>
      <c r="M168" t="s">
        <v>22</v>
      </c>
      <c r="N168" t="s">
        <v>23</v>
      </c>
    </row>
    <row r="169" spans="1:14" x14ac:dyDescent="0.35">
      <c r="A169" t="s">
        <v>620</v>
      </c>
      <c r="B169" t="s">
        <v>621</v>
      </c>
      <c r="C169" t="s">
        <v>129</v>
      </c>
      <c r="D169" t="s">
        <v>622</v>
      </c>
      <c r="E169" t="s">
        <v>40</v>
      </c>
      <c r="F169" t="s">
        <v>62</v>
      </c>
      <c r="G169" t="s">
        <v>19</v>
      </c>
      <c r="H169" t="s">
        <v>135</v>
      </c>
      <c r="I169">
        <v>6</v>
      </c>
      <c r="J169">
        <v>768.68</v>
      </c>
      <c r="K169" t="s">
        <v>42</v>
      </c>
      <c r="L169">
        <v>139.59</v>
      </c>
      <c r="M169" t="s">
        <v>22</v>
      </c>
      <c r="N169" t="s">
        <v>56</v>
      </c>
    </row>
    <row r="170" spans="1:14" x14ac:dyDescent="0.35">
      <c r="A170" t="s">
        <v>623</v>
      </c>
      <c r="B170" t="s">
        <v>624</v>
      </c>
      <c r="C170" t="s">
        <v>466</v>
      </c>
      <c r="D170" t="s">
        <v>625</v>
      </c>
      <c r="E170" t="s">
        <v>93</v>
      </c>
      <c r="F170" t="s">
        <v>94</v>
      </c>
      <c r="G170" t="s">
        <v>48</v>
      </c>
      <c r="H170" t="s">
        <v>135</v>
      </c>
      <c r="I170">
        <v>1</v>
      </c>
      <c r="J170">
        <v>1428</v>
      </c>
      <c r="K170" t="s">
        <v>42</v>
      </c>
      <c r="L170">
        <v>196.74</v>
      </c>
      <c r="M170" t="s">
        <v>69</v>
      </c>
      <c r="N170" t="s">
        <v>56</v>
      </c>
    </row>
    <row r="171" spans="1:14" x14ac:dyDescent="0.35">
      <c r="A171" t="s">
        <v>626</v>
      </c>
      <c r="B171" t="s">
        <v>627</v>
      </c>
      <c r="C171" t="s">
        <v>628</v>
      </c>
      <c r="D171" t="s">
        <v>629</v>
      </c>
      <c r="E171" t="s">
        <v>93</v>
      </c>
      <c r="F171" t="s">
        <v>62</v>
      </c>
      <c r="G171" t="s">
        <v>54</v>
      </c>
      <c r="H171" t="s">
        <v>55</v>
      </c>
      <c r="I171">
        <v>1</v>
      </c>
      <c r="K171">
        <v>0.1</v>
      </c>
      <c r="L171">
        <v>226.39</v>
      </c>
      <c r="M171" t="s">
        <v>49</v>
      </c>
      <c r="N171" t="s">
        <v>23</v>
      </c>
    </row>
    <row r="172" spans="1:14" x14ac:dyDescent="0.35">
      <c r="A172" t="s">
        <v>630</v>
      </c>
      <c r="B172" t="s">
        <v>631</v>
      </c>
      <c r="C172" t="s">
        <v>81</v>
      </c>
      <c r="D172" t="s">
        <v>632</v>
      </c>
      <c r="E172" t="s">
        <v>47</v>
      </c>
      <c r="F172" t="s">
        <v>94</v>
      </c>
      <c r="G172" t="s">
        <v>48</v>
      </c>
      <c r="H172" t="s">
        <v>158</v>
      </c>
      <c r="I172">
        <v>12</v>
      </c>
      <c r="J172">
        <v>331.72</v>
      </c>
      <c r="K172">
        <v>0.2</v>
      </c>
      <c r="L172">
        <v>736.52</v>
      </c>
      <c r="M172" t="s">
        <v>35</v>
      </c>
      <c r="N172" t="s">
        <v>23</v>
      </c>
    </row>
    <row r="173" spans="1:14" x14ac:dyDescent="0.35">
      <c r="A173" t="s">
        <v>633</v>
      </c>
      <c r="B173" t="s">
        <v>634</v>
      </c>
      <c r="C173" t="s">
        <v>635</v>
      </c>
      <c r="D173" t="s">
        <v>636</v>
      </c>
      <c r="E173" t="s">
        <v>40</v>
      </c>
      <c r="F173" t="s">
        <v>18</v>
      </c>
      <c r="G173" t="s">
        <v>19</v>
      </c>
      <c r="H173" t="s">
        <v>88</v>
      </c>
      <c r="I173">
        <v>4</v>
      </c>
      <c r="J173">
        <v>1107.73</v>
      </c>
      <c r="K173" t="s">
        <v>21</v>
      </c>
      <c r="L173">
        <v>861.33</v>
      </c>
      <c r="M173" t="s">
        <v>22</v>
      </c>
      <c r="N173" t="s">
        <v>23</v>
      </c>
    </row>
    <row r="174" spans="1:14" x14ac:dyDescent="0.35">
      <c r="A174" t="s">
        <v>637</v>
      </c>
      <c r="B174" t="s">
        <v>638</v>
      </c>
      <c r="C174" t="s">
        <v>639</v>
      </c>
      <c r="D174" t="s">
        <v>640</v>
      </c>
      <c r="E174" t="s">
        <v>40</v>
      </c>
      <c r="F174" t="s">
        <v>94</v>
      </c>
      <c r="G174" t="s">
        <v>28</v>
      </c>
      <c r="H174" t="s">
        <v>63</v>
      </c>
      <c r="I174">
        <v>9</v>
      </c>
      <c r="J174">
        <v>1468.61</v>
      </c>
      <c r="K174" t="s">
        <v>21</v>
      </c>
      <c r="L174">
        <v>573.59</v>
      </c>
      <c r="M174" t="s">
        <v>49</v>
      </c>
      <c r="N174" t="s">
        <v>23</v>
      </c>
    </row>
    <row r="175" spans="1:14" x14ac:dyDescent="0.35">
      <c r="A175" t="s">
        <v>641</v>
      </c>
      <c r="B175" t="s">
        <v>642</v>
      </c>
      <c r="C175" t="s">
        <v>635</v>
      </c>
      <c r="D175" t="s">
        <v>643</v>
      </c>
      <c r="E175" t="s">
        <v>61</v>
      </c>
      <c r="F175" t="s">
        <v>94</v>
      </c>
      <c r="G175" t="s">
        <v>112</v>
      </c>
      <c r="H175" t="s">
        <v>135</v>
      </c>
      <c r="I175">
        <v>6</v>
      </c>
      <c r="J175">
        <v>1143.4000000000001</v>
      </c>
      <c r="K175" t="s">
        <v>21</v>
      </c>
      <c r="L175">
        <v>490.48</v>
      </c>
      <c r="M175" t="s">
        <v>69</v>
      </c>
      <c r="N175" t="s">
        <v>23</v>
      </c>
    </row>
    <row r="176" spans="1:14" x14ac:dyDescent="0.35">
      <c r="A176" t="s">
        <v>644</v>
      </c>
      <c r="B176" t="s">
        <v>458</v>
      </c>
      <c r="C176" t="s">
        <v>537</v>
      </c>
      <c r="D176" t="s">
        <v>645</v>
      </c>
      <c r="E176" t="s">
        <v>93</v>
      </c>
      <c r="F176" t="s">
        <v>34</v>
      </c>
      <c r="G176" t="s">
        <v>19</v>
      </c>
      <c r="H176" t="s">
        <v>88</v>
      </c>
      <c r="I176">
        <v>15</v>
      </c>
      <c r="J176">
        <v>1425.63</v>
      </c>
      <c r="K176">
        <v>0.2</v>
      </c>
      <c r="L176">
        <v>4.47</v>
      </c>
      <c r="M176" t="s">
        <v>35</v>
      </c>
      <c r="N176" t="s">
        <v>23</v>
      </c>
    </row>
    <row r="177" spans="1:14" x14ac:dyDescent="0.35">
      <c r="A177" t="s">
        <v>646</v>
      </c>
      <c r="B177" t="s">
        <v>305</v>
      </c>
      <c r="C177" t="s">
        <v>182</v>
      </c>
      <c r="D177" t="s">
        <v>647</v>
      </c>
      <c r="E177" t="s">
        <v>47</v>
      </c>
      <c r="F177" t="s">
        <v>103</v>
      </c>
      <c r="G177" t="s">
        <v>28</v>
      </c>
      <c r="H177" t="s">
        <v>63</v>
      </c>
      <c r="I177">
        <v>8</v>
      </c>
      <c r="J177">
        <v>1243.3699999999999</v>
      </c>
      <c r="K177" t="s">
        <v>21</v>
      </c>
      <c r="L177">
        <v>578.78</v>
      </c>
      <c r="M177" t="s">
        <v>49</v>
      </c>
      <c r="N177" t="s">
        <v>56</v>
      </c>
    </row>
    <row r="178" spans="1:14" x14ac:dyDescent="0.35">
      <c r="A178" t="s">
        <v>648</v>
      </c>
      <c r="B178" t="s">
        <v>649</v>
      </c>
      <c r="C178" t="s">
        <v>226</v>
      </c>
      <c r="D178" t="s">
        <v>650</v>
      </c>
      <c r="E178" t="s">
        <v>18</v>
      </c>
      <c r="F178" t="s">
        <v>103</v>
      </c>
      <c r="G178" t="s">
        <v>19</v>
      </c>
      <c r="H178" t="s">
        <v>20</v>
      </c>
      <c r="I178">
        <v>1</v>
      </c>
      <c r="J178">
        <v>644.55999999999995</v>
      </c>
      <c r="K178">
        <v>0.2</v>
      </c>
      <c r="L178">
        <v>909.59</v>
      </c>
      <c r="M178" t="s">
        <v>35</v>
      </c>
      <c r="N178" t="s">
        <v>23</v>
      </c>
    </row>
    <row r="179" spans="1:14" x14ac:dyDescent="0.35">
      <c r="A179" t="s">
        <v>651</v>
      </c>
      <c r="B179" t="s">
        <v>652</v>
      </c>
      <c r="C179" t="s">
        <v>618</v>
      </c>
      <c r="D179" t="s">
        <v>653</v>
      </c>
      <c r="E179" t="s">
        <v>83</v>
      </c>
      <c r="F179" t="s">
        <v>94</v>
      </c>
      <c r="G179" t="s">
        <v>19</v>
      </c>
      <c r="H179" t="s">
        <v>158</v>
      </c>
      <c r="I179">
        <v>7</v>
      </c>
      <c r="J179">
        <v>1090.3499999999999</v>
      </c>
      <c r="K179">
        <v>0</v>
      </c>
      <c r="L179">
        <v>430.37</v>
      </c>
      <c r="M179" t="s">
        <v>49</v>
      </c>
      <c r="N179" t="s">
        <v>23</v>
      </c>
    </row>
    <row r="180" spans="1:14" x14ac:dyDescent="0.35">
      <c r="A180" t="s">
        <v>654</v>
      </c>
      <c r="B180" t="s">
        <v>655</v>
      </c>
      <c r="C180" t="s">
        <v>86</v>
      </c>
      <c r="D180" t="s">
        <v>656</v>
      </c>
      <c r="E180" t="s">
        <v>17</v>
      </c>
      <c r="F180" t="s">
        <v>34</v>
      </c>
      <c r="G180" t="s">
        <v>28</v>
      </c>
      <c r="H180" t="s">
        <v>29</v>
      </c>
      <c r="I180">
        <v>12</v>
      </c>
      <c r="J180">
        <v>185.29</v>
      </c>
      <c r="K180" t="s">
        <v>42</v>
      </c>
      <c r="L180">
        <v>694.64</v>
      </c>
      <c r="M180" t="s">
        <v>49</v>
      </c>
      <c r="N180" t="s">
        <v>23</v>
      </c>
    </row>
    <row r="181" spans="1:14" x14ac:dyDescent="0.35">
      <c r="A181" t="s">
        <v>657</v>
      </c>
      <c r="B181" t="s">
        <v>658</v>
      </c>
      <c r="C181" t="s">
        <v>659</v>
      </c>
      <c r="D181" t="s">
        <v>660</v>
      </c>
      <c r="E181" t="s">
        <v>47</v>
      </c>
      <c r="F181" t="s">
        <v>62</v>
      </c>
      <c r="G181" t="s">
        <v>48</v>
      </c>
      <c r="H181" t="s">
        <v>158</v>
      </c>
      <c r="I181">
        <v>7</v>
      </c>
      <c r="J181">
        <v>1130.97</v>
      </c>
      <c r="K181">
        <v>0.05</v>
      </c>
      <c r="L181">
        <v>992.95</v>
      </c>
      <c r="M181" t="s">
        <v>22</v>
      </c>
      <c r="N181" t="s">
        <v>56</v>
      </c>
    </row>
    <row r="182" spans="1:14" x14ac:dyDescent="0.35">
      <c r="A182" t="s">
        <v>661</v>
      </c>
      <c r="B182" t="s">
        <v>662</v>
      </c>
      <c r="C182" t="s">
        <v>204</v>
      </c>
      <c r="D182" t="s">
        <v>663</v>
      </c>
      <c r="E182" t="s">
        <v>144</v>
      </c>
      <c r="F182" t="s">
        <v>94</v>
      </c>
      <c r="G182" t="s">
        <v>48</v>
      </c>
      <c r="H182" t="s">
        <v>135</v>
      </c>
      <c r="I182">
        <v>10</v>
      </c>
      <c r="J182">
        <v>1290.6400000000001</v>
      </c>
      <c r="K182">
        <v>0</v>
      </c>
      <c r="L182">
        <v>102.26</v>
      </c>
      <c r="M182" t="s">
        <v>35</v>
      </c>
      <c r="N182" t="s">
        <v>23</v>
      </c>
    </row>
    <row r="183" spans="1:14" x14ac:dyDescent="0.35">
      <c r="A183" t="s">
        <v>664</v>
      </c>
      <c r="B183" t="s">
        <v>665</v>
      </c>
      <c r="C183" t="s">
        <v>142</v>
      </c>
      <c r="D183" t="s">
        <v>666</v>
      </c>
      <c r="E183" t="s">
        <v>83</v>
      </c>
      <c r="F183" t="s">
        <v>62</v>
      </c>
      <c r="G183" t="s">
        <v>112</v>
      </c>
      <c r="H183" t="s">
        <v>158</v>
      </c>
      <c r="I183">
        <v>9</v>
      </c>
      <c r="J183">
        <v>1083.1600000000001</v>
      </c>
      <c r="K183">
        <v>0</v>
      </c>
      <c r="L183">
        <v>941.4</v>
      </c>
      <c r="M183" t="s">
        <v>22</v>
      </c>
      <c r="N183" t="s">
        <v>56</v>
      </c>
    </row>
    <row r="184" spans="1:14" x14ac:dyDescent="0.35">
      <c r="A184" t="s">
        <v>667</v>
      </c>
      <c r="B184" t="s">
        <v>668</v>
      </c>
      <c r="C184" t="s">
        <v>353</v>
      </c>
      <c r="D184" t="s">
        <v>669</v>
      </c>
      <c r="E184" t="s">
        <v>40</v>
      </c>
      <c r="F184" t="s">
        <v>94</v>
      </c>
      <c r="G184" t="s">
        <v>48</v>
      </c>
      <c r="H184" t="s">
        <v>20</v>
      </c>
      <c r="I184">
        <v>8</v>
      </c>
      <c r="J184">
        <v>365.42</v>
      </c>
      <c r="K184">
        <v>0</v>
      </c>
      <c r="L184">
        <v>72.87</v>
      </c>
      <c r="M184" t="s">
        <v>69</v>
      </c>
      <c r="N184" t="s">
        <v>23</v>
      </c>
    </row>
    <row r="185" spans="1:14" x14ac:dyDescent="0.35">
      <c r="A185" t="s">
        <v>670</v>
      </c>
      <c r="B185" t="s">
        <v>671</v>
      </c>
      <c r="C185" t="s">
        <v>196</v>
      </c>
      <c r="D185" t="s">
        <v>672</v>
      </c>
      <c r="E185" t="s">
        <v>61</v>
      </c>
      <c r="F185" t="s">
        <v>94</v>
      </c>
      <c r="G185" t="s">
        <v>28</v>
      </c>
      <c r="H185" t="s">
        <v>153</v>
      </c>
      <c r="I185">
        <v>13</v>
      </c>
      <c r="K185">
        <v>0</v>
      </c>
      <c r="L185">
        <v>217.31</v>
      </c>
      <c r="M185" t="s">
        <v>69</v>
      </c>
      <c r="N185" t="s">
        <v>23</v>
      </c>
    </row>
    <row r="186" spans="1:14" x14ac:dyDescent="0.35">
      <c r="A186" t="s">
        <v>673</v>
      </c>
      <c r="B186" t="s">
        <v>674</v>
      </c>
      <c r="C186" t="s">
        <v>287</v>
      </c>
      <c r="D186" t="s">
        <v>675</v>
      </c>
      <c r="E186" t="s">
        <v>17</v>
      </c>
      <c r="F186" t="s">
        <v>41</v>
      </c>
      <c r="G186" t="s">
        <v>28</v>
      </c>
      <c r="H186" t="s">
        <v>153</v>
      </c>
      <c r="I186">
        <v>2</v>
      </c>
      <c r="J186">
        <v>769.4</v>
      </c>
      <c r="K186" t="s">
        <v>21</v>
      </c>
      <c r="L186">
        <v>808.44</v>
      </c>
      <c r="M186" t="s">
        <v>69</v>
      </c>
      <c r="N186" t="s">
        <v>23</v>
      </c>
    </row>
    <row r="187" spans="1:14" x14ac:dyDescent="0.35">
      <c r="A187" t="s">
        <v>676</v>
      </c>
      <c r="B187" t="s">
        <v>504</v>
      </c>
      <c r="C187" t="s">
        <v>314</v>
      </c>
      <c r="D187" t="s">
        <v>677</v>
      </c>
      <c r="E187" t="s">
        <v>47</v>
      </c>
      <c r="F187" t="s">
        <v>18</v>
      </c>
      <c r="G187" t="s">
        <v>19</v>
      </c>
      <c r="H187" t="s">
        <v>135</v>
      </c>
      <c r="I187">
        <v>10</v>
      </c>
      <c r="J187">
        <v>467.39</v>
      </c>
      <c r="K187">
        <v>0</v>
      </c>
      <c r="L187">
        <v>741.18</v>
      </c>
      <c r="M187" t="s">
        <v>69</v>
      </c>
      <c r="N187" t="s">
        <v>23</v>
      </c>
    </row>
    <row r="188" spans="1:14" x14ac:dyDescent="0.35">
      <c r="A188" t="s">
        <v>678</v>
      </c>
      <c r="B188" t="s">
        <v>679</v>
      </c>
      <c r="C188" t="s">
        <v>680</v>
      </c>
      <c r="D188" t="s">
        <v>681</v>
      </c>
      <c r="E188" t="s">
        <v>18</v>
      </c>
      <c r="F188" t="s">
        <v>62</v>
      </c>
      <c r="G188" t="s">
        <v>28</v>
      </c>
      <c r="H188" t="s">
        <v>153</v>
      </c>
      <c r="I188">
        <v>6</v>
      </c>
      <c r="J188">
        <v>1172.78</v>
      </c>
      <c r="K188">
        <v>0</v>
      </c>
      <c r="L188">
        <v>886.64</v>
      </c>
      <c r="M188" t="s">
        <v>49</v>
      </c>
      <c r="N188" t="s">
        <v>23</v>
      </c>
    </row>
    <row r="189" spans="1:14" x14ac:dyDescent="0.35">
      <c r="A189" t="s">
        <v>682</v>
      </c>
      <c r="B189" t="s">
        <v>683</v>
      </c>
      <c r="C189" t="s">
        <v>684</v>
      </c>
      <c r="D189" t="s">
        <v>685</v>
      </c>
      <c r="E189" t="s">
        <v>17</v>
      </c>
      <c r="F189" t="s">
        <v>18</v>
      </c>
      <c r="G189" t="s">
        <v>28</v>
      </c>
      <c r="H189" t="s">
        <v>153</v>
      </c>
      <c r="I189">
        <v>1</v>
      </c>
      <c r="J189">
        <v>852.49</v>
      </c>
      <c r="K189">
        <v>0</v>
      </c>
      <c r="L189">
        <v>256.61</v>
      </c>
      <c r="M189" t="s">
        <v>49</v>
      </c>
      <c r="N189" t="s">
        <v>23</v>
      </c>
    </row>
    <row r="190" spans="1:14" x14ac:dyDescent="0.35">
      <c r="A190" t="s">
        <v>686</v>
      </c>
      <c r="B190" t="s">
        <v>687</v>
      </c>
      <c r="C190" t="s">
        <v>138</v>
      </c>
      <c r="D190" t="s">
        <v>688</v>
      </c>
      <c r="E190" t="s">
        <v>83</v>
      </c>
      <c r="F190" t="s">
        <v>41</v>
      </c>
      <c r="G190" t="s">
        <v>19</v>
      </c>
      <c r="H190" t="s">
        <v>135</v>
      </c>
      <c r="I190">
        <v>3</v>
      </c>
      <c r="K190">
        <v>0.2</v>
      </c>
      <c r="L190">
        <v>803.51</v>
      </c>
      <c r="M190" t="s">
        <v>22</v>
      </c>
      <c r="N190" t="s">
        <v>56</v>
      </c>
    </row>
    <row r="191" spans="1:14" x14ac:dyDescent="0.35">
      <c r="A191" t="s">
        <v>689</v>
      </c>
      <c r="B191" t="s">
        <v>690</v>
      </c>
      <c r="C191" t="s">
        <v>298</v>
      </c>
      <c r="D191" t="s">
        <v>691</v>
      </c>
      <c r="E191" t="s">
        <v>17</v>
      </c>
      <c r="F191" t="s">
        <v>94</v>
      </c>
      <c r="G191" t="s">
        <v>48</v>
      </c>
      <c r="H191" t="s">
        <v>158</v>
      </c>
      <c r="I191">
        <v>6</v>
      </c>
      <c r="J191">
        <v>1011.62</v>
      </c>
      <c r="K191" t="s">
        <v>21</v>
      </c>
      <c r="L191">
        <v>224.74</v>
      </c>
      <c r="M191" t="s">
        <v>35</v>
      </c>
      <c r="N191" t="s">
        <v>23</v>
      </c>
    </row>
    <row r="192" spans="1:14" x14ac:dyDescent="0.35">
      <c r="A192" t="s">
        <v>692</v>
      </c>
      <c r="B192" t="s">
        <v>693</v>
      </c>
      <c r="C192" t="s">
        <v>263</v>
      </c>
      <c r="D192" t="s">
        <v>694</v>
      </c>
      <c r="E192" t="s">
        <v>83</v>
      </c>
      <c r="F192" t="s">
        <v>34</v>
      </c>
      <c r="G192" t="s">
        <v>48</v>
      </c>
      <c r="H192" t="s">
        <v>20</v>
      </c>
      <c r="I192">
        <v>5</v>
      </c>
      <c r="J192">
        <v>459.34</v>
      </c>
      <c r="K192" t="s">
        <v>21</v>
      </c>
      <c r="L192">
        <v>465</v>
      </c>
      <c r="M192" t="s">
        <v>22</v>
      </c>
      <c r="N192" t="s">
        <v>23</v>
      </c>
    </row>
    <row r="193" spans="1:14" x14ac:dyDescent="0.35">
      <c r="A193" t="s">
        <v>695</v>
      </c>
      <c r="B193" t="s">
        <v>696</v>
      </c>
      <c r="C193" t="s">
        <v>32</v>
      </c>
      <c r="D193" t="s">
        <v>697</v>
      </c>
      <c r="E193" t="s">
        <v>18</v>
      </c>
      <c r="F193" t="s">
        <v>103</v>
      </c>
      <c r="G193" t="s">
        <v>19</v>
      </c>
      <c r="H193" t="s">
        <v>88</v>
      </c>
      <c r="I193">
        <v>6</v>
      </c>
      <c r="K193">
        <v>0.2</v>
      </c>
      <c r="L193">
        <v>336.35</v>
      </c>
      <c r="M193" t="s">
        <v>22</v>
      </c>
      <c r="N193" t="s">
        <v>23</v>
      </c>
    </row>
    <row r="194" spans="1:14" x14ac:dyDescent="0.35">
      <c r="A194" t="s">
        <v>698</v>
      </c>
      <c r="B194" t="s">
        <v>699</v>
      </c>
      <c r="C194" t="s">
        <v>242</v>
      </c>
      <c r="D194" t="s">
        <v>700</v>
      </c>
      <c r="E194" t="s">
        <v>144</v>
      </c>
      <c r="F194" t="s">
        <v>94</v>
      </c>
      <c r="G194" t="s">
        <v>54</v>
      </c>
      <c r="H194" t="s">
        <v>55</v>
      </c>
      <c r="I194">
        <v>3</v>
      </c>
      <c r="J194">
        <v>144.07</v>
      </c>
      <c r="K194" t="s">
        <v>21</v>
      </c>
      <c r="L194">
        <v>897.49</v>
      </c>
      <c r="M194" t="s">
        <v>49</v>
      </c>
      <c r="N194" t="s">
        <v>23</v>
      </c>
    </row>
    <row r="195" spans="1:14" x14ac:dyDescent="0.35">
      <c r="A195" t="s">
        <v>701</v>
      </c>
      <c r="B195" t="s">
        <v>702</v>
      </c>
      <c r="C195" t="s">
        <v>196</v>
      </c>
      <c r="D195" t="s">
        <v>703</v>
      </c>
      <c r="E195" t="s">
        <v>144</v>
      </c>
      <c r="F195" t="s">
        <v>41</v>
      </c>
      <c r="G195" t="s">
        <v>28</v>
      </c>
      <c r="H195" t="s">
        <v>29</v>
      </c>
      <c r="I195">
        <v>10</v>
      </c>
      <c r="J195">
        <v>995.35</v>
      </c>
      <c r="K195">
        <v>0.1</v>
      </c>
      <c r="L195">
        <v>293.08999999999997</v>
      </c>
      <c r="M195" t="s">
        <v>69</v>
      </c>
      <c r="N195" t="s">
        <v>23</v>
      </c>
    </row>
    <row r="196" spans="1:14" x14ac:dyDescent="0.35">
      <c r="A196" t="s">
        <v>704</v>
      </c>
      <c r="B196" t="s">
        <v>705</v>
      </c>
      <c r="C196" t="s">
        <v>242</v>
      </c>
      <c r="D196" t="s">
        <v>706</v>
      </c>
      <c r="E196" t="s">
        <v>144</v>
      </c>
      <c r="F196" t="s">
        <v>18</v>
      </c>
      <c r="G196" t="s">
        <v>112</v>
      </c>
      <c r="H196" t="s">
        <v>20</v>
      </c>
      <c r="I196">
        <v>13</v>
      </c>
      <c r="J196">
        <v>167.91</v>
      </c>
      <c r="K196">
        <v>0.1</v>
      </c>
      <c r="L196">
        <v>450.67</v>
      </c>
      <c r="M196" t="s">
        <v>69</v>
      </c>
      <c r="N196" t="s">
        <v>23</v>
      </c>
    </row>
    <row r="197" spans="1:14" x14ac:dyDescent="0.35">
      <c r="A197" t="s">
        <v>707</v>
      </c>
      <c r="B197" t="s">
        <v>708</v>
      </c>
      <c r="C197" t="s">
        <v>287</v>
      </c>
      <c r="D197" t="s">
        <v>709</v>
      </c>
      <c r="E197" t="s">
        <v>83</v>
      </c>
      <c r="F197" t="s">
        <v>41</v>
      </c>
      <c r="G197" t="s">
        <v>54</v>
      </c>
      <c r="H197" t="s">
        <v>55</v>
      </c>
      <c r="I197">
        <v>3</v>
      </c>
      <c r="J197">
        <v>459.8</v>
      </c>
      <c r="K197">
        <v>0.05</v>
      </c>
      <c r="L197">
        <v>604.1</v>
      </c>
      <c r="M197" t="s">
        <v>69</v>
      </c>
      <c r="N197" t="s">
        <v>23</v>
      </c>
    </row>
    <row r="198" spans="1:14" x14ac:dyDescent="0.35">
      <c r="A198" t="s">
        <v>710</v>
      </c>
      <c r="B198" t="s">
        <v>711</v>
      </c>
      <c r="C198" t="s">
        <v>589</v>
      </c>
      <c r="D198" t="s">
        <v>712</v>
      </c>
      <c r="E198" t="s">
        <v>47</v>
      </c>
      <c r="F198" t="s">
        <v>18</v>
      </c>
      <c r="G198" t="s">
        <v>48</v>
      </c>
      <c r="H198" t="s">
        <v>158</v>
      </c>
      <c r="I198">
        <v>7</v>
      </c>
      <c r="J198">
        <v>836.15</v>
      </c>
      <c r="K198">
        <v>0</v>
      </c>
      <c r="L198">
        <v>96.54</v>
      </c>
      <c r="M198" t="s">
        <v>22</v>
      </c>
      <c r="N198" t="s">
        <v>23</v>
      </c>
    </row>
    <row r="199" spans="1:14" x14ac:dyDescent="0.35">
      <c r="A199" t="s">
        <v>713</v>
      </c>
      <c r="B199" t="s">
        <v>714</v>
      </c>
      <c r="C199" t="s">
        <v>449</v>
      </c>
      <c r="D199" t="s">
        <v>715</v>
      </c>
      <c r="E199" t="s">
        <v>40</v>
      </c>
      <c r="F199" t="s">
        <v>103</v>
      </c>
      <c r="G199" t="s">
        <v>54</v>
      </c>
      <c r="H199" t="s">
        <v>55</v>
      </c>
      <c r="I199">
        <v>10</v>
      </c>
      <c r="J199">
        <v>1376.56</v>
      </c>
      <c r="K199">
        <v>0.05</v>
      </c>
      <c r="L199">
        <v>997.17</v>
      </c>
      <c r="M199" t="s">
        <v>35</v>
      </c>
      <c r="N199" t="s">
        <v>23</v>
      </c>
    </row>
    <row r="200" spans="1:14" x14ac:dyDescent="0.35">
      <c r="A200" t="s">
        <v>716</v>
      </c>
      <c r="B200" t="s">
        <v>188</v>
      </c>
      <c r="C200" t="s">
        <v>717</v>
      </c>
      <c r="D200" t="s">
        <v>718</v>
      </c>
      <c r="E200" t="s">
        <v>40</v>
      </c>
      <c r="F200" t="s">
        <v>41</v>
      </c>
      <c r="G200" t="s">
        <v>19</v>
      </c>
      <c r="H200" t="s">
        <v>88</v>
      </c>
      <c r="I200">
        <v>10</v>
      </c>
      <c r="J200">
        <v>1088.02</v>
      </c>
      <c r="K200" t="s">
        <v>42</v>
      </c>
      <c r="L200">
        <v>383.96</v>
      </c>
      <c r="M200" t="s">
        <v>35</v>
      </c>
      <c r="N200" t="s">
        <v>56</v>
      </c>
    </row>
    <row r="201" spans="1:14" x14ac:dyDescent="0.35">
      <c r="A201" t="s">
        <v>719</v>
      </c>
      <c r="B201" t="s">
        <v>720</v>
      </c>
      <c r="C201" t="s">
        <v>589</v>
      </c>
      <c r="D201" t="s">
        <v>721</v>
      </c>
      <c r="E201" t="s">
        <v>83</v>
      </c>
      <c r="F201" t="s">
        <v>34</v>
      </c>
      <c r="G201" t="s">
        <v>112</v>
      </c>
      <c r="H201" t="s">
        <v>20</v>
      </c>
      <c r="I201">
        <v>5</v>
      </c>
      <c r="J201">
        <v>1324.75</v>
      </c>
      <c r="K201" t="s">
        <v>42</v>
      </c>
      <c r="L201">
        <v>89.55</v>
      </c>
      <c r="M201" t="s">
        <v>49</v>
      </c>
      <c r="N201" t="s">
        <v>56</v>
      </c>
    </row>
    <row r="202" spans="1:14" x14ac:dyDescent="0.35">
      <c r="A202" t="s">
        <v>14</v>
      </c>
      <c r="B202" t="s">
        <v>15</v>
      </c>
      <c r="D202" t="s">
        <v>16</v>
      </c>
      <c r="E202" t="s">
        <v>17</v>
      </c>
      <c r="F202" t="s">
        <v>18</v>
      </c>
      <c r="G202" t="s">
        <v>19</v>
      </c>
      <c r="H202" t="s">
        <v>20</v>
      </c>
      <c r="I202">
        <v>4</v>
      </c>
      <c r="J202">
        <v>158.22999999999999</v>
      </c>
      <c r="K202" t="s">
        <v>21</v>
      </c>
      <c r="L202">
        <v>546.28</v>
      </c>
      <c r="M202" t="s">
        <v>22</v>
      </c>
      <c r="N202" t="s">
        <v>23</v>
      </c>
    </row>
    <row r="203" spans="1:14" x14ac:dyDescent="0.35">
      <c r="A203" t="s">
        <v>24</v>
      </c>
      <c r="B203" t="s">
        <v>25</v>
      </c>
      <c r="C203" t="s">
        <v>26</v>
      </c>
      <c r="D203" t="s">
        <v>27</v>
      </c>
      <c r="E203" t="s">
        <v>18</v>
      </c>
      <c r="F203" t="s">
        <v>18</v>
      </c>
      <c r="G203" t="s">
        <v>28</v>
      </c>
      <c r="H203" t="s">
        <v>29</v>
      </c>
      <c r="I203">
        <v>4</v>
      </c>
      <c r="J203">
        <v>420.9</v>
      </c>
      <c r="K203">
        <v>0.05</v>
      </c>
      <c r="L203">
        <v>759.29</v>
      </c>
      <c r="M203" t="s">
        <v>22</v>
      </c>
      <c r="N203" t="s">
        <v>23</v>
      </c>
    </row>
    <row r="204" spans="1:14" x14ac:dyDescent="0.35">
      <c r="A204" t="s">
        <v>30</v>
      </c>
      <c r="B204" t="s">
        <v>31</v>
      </c>
      <c r="C204" t="s">
        <v>32</v>
      </c>
      <c r="D204" t="s">
        <v>33</v>
      </c>
      <c r="E204" t="s">
        <v>18</v>
      </c>
      <c r="F204" t="s">
        <v>34</v>
      </c>
      <c r="G204" t="s">
        <v>19</v>
      </c>
      <c r="H204" t="s">
        <v>20</v>
      </c>
      <c r="I204">
        <v>14</v>
      </c>
      <c r="K204">
        <v>0</v>
      </c>
      <c r="L204">
        <v>460.51</v>
      </c>
      <c r="M204" t="s">
        <v>35</v>
      </c>
      <c r="N204" t="s">
        <v>23</v>
      </c>
    </row>
    <row r="205" spans="1:14" x14ac:dyDescent="0.35">
      <c r="A205" t="s">
        <v>36</v>
      </c>
      <c r="B205" t="s">
        <v>37</v>
      </c>
      <c r="C205" t="s">
        <v>38</v>
      </c>
      <c r="D205" t="s">
        <v>39</v>
      </c>
      <c r="E205" t="s">
        <v>40</v>
      </c>
      <c r="F205" t="s">
        <v>41</v>
      </c>
      <c r="G205" t="s">
        <v>19</v>
      </c>
      <c r="H205" t="s">
        <v>20</v>
      </c>
      <c r="I205">
        <v>5</v>
      </c>
      <c r="J205">
        <v>1283.7</v>
      </c>
      <c r="K205" t="s">
        <v>42</v>
      </c>
      <c r="L205">
        <v>381.37</v>
      </c>
      <c r="M205" t="s">
        <v>35</v>
      </c>
      <c r="N205" t="s">
        <v>23</v>
      </c>
    </row>
    <row r="206" spans="1:14" x14ac:dyDescent="0.35">
      <c r="A206" t="s">
        <v>43</v>
      </c>
      <c r="B206" t="s">
        <v>44</v>
      </c>
      <c r="C206" t="s">
        <v>45</v>
      </c>
      <c r="D206" t="s">
        <v>46</v>
      </c>
      <c r="E206" t="s">
        <v>47</v>
      </c>
      <c r="F206" t="s">
        <v>18</v>
      </c>
      <c r="G206" t="s">
        <v>48</v>
      </c>
      <c r="H206" t="s">
        <v>20</v>
      </c>
      <c r="I206">
        <v>4</v>
      </c>
      <c r="J206">
        <v>572.29</v>
      </c>
      <c r="K206" t="s">
        <v>21</v>
      </c>
      <c r="L206">
        <v>640.72</v>
      </c>
      <c r="M206" t="s">
        <v>49</v>
      </c>
      <c r="N206" t="s">
        <v>23</v>
      </c>
    </row>
    <row r="207" spans="1:14" x14ac:dyDescent="0.35">
      <c r="A207" t="s">
        <v>50</v>
      </c>
      <c r="B207" t="s">
        <v>51</v>
      </c>
      <c r="C207" t="s">
        <v>52</v>
      </c>
      <c r="D207" t="s">
        <v>53</v>
      </c>
      <c r="E207" t="s">
        <v>40</v>
      </c>
      <c r="F207" t="s">
        <v>18</v>
      </c>
      <c r="G207" t="s">
        <v>54</v>
      </c>
      <c r="H207" t="s">
        <v>55</v>
      </c>
      <c r="I207">
        <v>10</v>
      </c>
      <c r="J207">
        <v>475.44</v>
      </c>
      <c r="K207">
        <v>0.2</v>
      </c>
      <c r="L207">
        <v>396.84</v>
      </c>
      <c r="M207" t="s">
        <v>35</v>
      </c>
      <c r="N207" t="s">
        <v>56</v>
      </c>
    </row>
    <row r="208" spans="1:14" x14ac:dyDescent="0.35">
      <c r="A208" t="s">
        <v>57</v>
      </c>
      <c r="B208" t="s">
        <v>58</v>
      </c>
      <c r="C208" t="s">
        <v>59</v>
      </c>
      <c r="D208" t="s">
        <v>60</v>
      </c>
      <c r="E208" t="s">
        <v>61</v>
      </c>
      <c r="F208" t="s">
        <v>62</v>
      </c>
      <c r="G208" t="s">
        <v>28</v>
      </c>
      <c r="H208" t="s">
        <v>63</v>
      </c>
      <c r="I208">
        <v>3</v>
      </c>
      <c r="K208">
        <v>0.2</v>
      </c>
      <c r="L208">
        <v>111.43</v>
      </c>
      <c r="M208" t="s">
        <v>49</v>
      </c>
      <c r="N208" t="s">
        <v>56</v>
      </c>
    </row>
    <row r="209" spans="1:14" x14ac:dyDescent="0.35">
      <c r="A209" t="s">
        <v>64</v>
      </c>
      <c r="B209" t="s">
        <v>65</v>
      </c>
      <c r="C209" t="s">
        <v>66</v>
      </c>
      <c r="D209" t="s">
        <v>67</v>
      </c>
      <c r="E209" t="s">
        <v>17</v>
      </c>
      <c r="F209" t="s">
        <v>41</v>
      </c>
      <c r="G209" t="s">
        <v>54</v>
      </c>
      <c r="H209" t="s">
        <v>68</v>
      </c>
      <c r="I209">
        <v>14</v>
      </c>
      <c r="J209">
        <v>1022.02</v>
      </c>
      <c r="K209">
        <v>0.1</v>
      </c>
      <c r="L209">
        <v>885.02</v>
      </c>
      <c r="M209" t="s">
        <v>69</v>
      </c>
      <c r="N209" t="s">
        <v>23</v>
      </c>
    </row>
    <row r="210" spans="1:14" x14ac:dyDescent="0.35">
      <c r="A210" t="s">
        <v>70</v>
      </c>
      <c r="B210" t="s">
        <v>71</v>
      </c>
      <c r="C210" t="s">
        <v>72</v>
      </c>
      <c r="D210" t="s">
        <v>73</v>
      </c>
      <c r="E210" t="s">
        <v>40</v>
      </c>
      <c r="F210" t="s">
        <v>41</v>
      </c>
      <c r="G210" t="s">
        <v>54</v>
      </c>
      <c r="H210" t="s">
        <v>74</v>
      </c>
      <c r="I210">
        <v>9</v>
      </c>
      <c r="J210">
        <v>763.98</v>
      </c>
      <c r="K210">
        <v>0.2</v>
      </c>
      <c r="L210">
        <v>626.04999999999995</v>
      </c>
      <c r="M210" t="s">
        <v>22</v>
      </c>
      <c r="N210" t="s">
        <v>23</v>
      </c>
    </row>
    <row r="211" spans="1:14" x14ac:dyDescent="0.35">
      <c r="A211" t="s">
        <v>75</v>
      </c>
      <c r="B211" t="s">
        <v>76</v>
      </c>
      <c r="C211" t="s">
        <v>77</v>
      </c>
      <c r="D211" t="s">
        <v>78</v>
      </c>
      <c r="E211" t="s">
        <v>17</v>
      </c>
      <c r="F211" t="s">
        <v>34</v>
      </c>
      <c r="G211" t="s">
        <v>28</v>
      </c>
      <c r="H211" t="s">
        <v>63</v>
      </c>
      <c r="I211">
        <v>15</v>
      </c>
      <c r="J211">
        <v>1478.06</v>
      </c>
      <c r="K211">
        <v>0.05</v>
      </c>
      <c r="L211">
        <v>240.97</v>
      </c>
      <c r="M211" t="s">
        <v>69</v>
      </c>
      <c r="N211"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01"/>
  <sheetViews>
    <sheetView tabSelected="1" zoomScale="120" zoomScaleNormal="120" workbookViewId="0">
      <pane ySplit="1" topLeftCell="A2" activePane="bottomLeft" state="frozen"/>
      <selection activeCell="G1" sqref="G1"/>
      <selection pane="bottomLeft" activeCell="X15" sqref="X15"/>
    </sheetView>
  </sheetViews>
  <sheetFormatPr defaultColWidth="15.6328125" defaultRowHeight="14.5" x14ac:dyDescent="0.35"/>
  <cols>
    <col min="1" max="1" width="14" customWidth="1"/>
    <col min="2" max="2" width="12.36328125" customWidth="1"/>
    <col min="3" max="3" width="14.36328125" style="1" customWidth="1"/>
    <col min="4" max="4" width="13" customWidth="1"/>
    <col min="5" max="5" width="21.90625" customWidth="1"/>
    <col min="6" max="6" width="18.7265625" customWidth="1"/>
    <col min="7" max="7" width="14.54296875" customWidth="1"/>
    <col min="8" max="8" width="14.08984375" customWidth="1"/>
    <col min="9" max="9" width="11.54296875" customWidth="1"/>
    <col min="10" max="10" width="12.54296875" customWidth="1"/>
    <col min="11" max="11" width="13.54296875" customWidth="1"/>
    <col min="12" max="12" width="14.36328125" customWidth="1"/>
    <col min="14" max="14" width="16.26953125" customWidth="1"/>
    <col min="15" max="15" width="12.08984375" customWidth="1"/>
    <col min="16" max="16" width="14.6328125" customWidth="1"/>
    <col min="17" max="17" width="13.54296875" style="5" customWidth="1"/>
    <col min="19" max="19" width="15.6328125" style="6"/>
    <col min="21" max="21" width="15.6328125" style="2"/>
    <col min="23" max="23" width="15.6328125" style="2"/>
    <col min="29" max="29" width="23" style="7" customWidth="1"/>
  </cols>
  <sheetData>
    <row r="1" spans="1:31" s="10" customFormat="1" ht="54.75" customHeight="1" x14ac:dyDescent="0.45">
      <c r="A1" s="10" t="s">
        <v>0</v>
      </c>
      <c r="B1" s="10" t="s">
        <v>1</v>
      </c>
      <c r="C1" s="11" t="s">
        <v>956</v>
      </c>
      <c r="D1" s="10" t="s">
        <v>2</v>
      </c>
      <c r="E1" s="10" t="s">
        <v>3</v>
      </c>
      <c r="F1" s="10" t="s">
        <v>957</v>
      </c>
      <c r="G1" s="10" t="s">
        <v>722</v>
      </c>
      <c r="H1" s="10" t="s">
        <v>723</v>
      </c>
      <c r="I1" s="10" t="s">
        <v>4</v>
      </c>
      <c r="J1" s="10" t="s">
        <v>958</v>
      </c>
      <c r="K1" s="10" t="s">
        <v>5</v>
      </c>
      <c r="L1" s="10" t="s">
        <v>724</v>
      </c>
      <c r="M1" s="10" t="s">
        <v>6</v>
      </c>
      <c r="N1" s="10" t="s">
        <v>725</v>
      </c>
      <c r="O1" s="10" t="s">
        <v>7</v>
      </c>
      <c r="P1" s="10" t="s">
        <v>726</v>
      </c>
      <c r="Q1" s="12" t="s">
        <v>8</v>
      </c>
      <c r="R1" s="10" t="s">
        <v>9</v>
      </c>
      <c r="S1" s="13" t="s">
        <v>959</v>
      </c>
      <c r="T1" s="10" t="s">
        <v>10</v>
      </c>
      <c r="U1" s="14" t="s">
        <v>727</v>
      </c>
      <c r="V1" s="10" t="s">
        <v>11</v>
      </c>
      <c r="W1" s="14" t="s">
        <v>960</v>
      </c>
      <c r="X1" s="10" t="s">
        <v>12</v>
      </c>
      <c r="Y1" s="10" t="s">
        <v>961</v>
      </c>
      <c r="Z1" s="10" t="s">
        <v>13</v>
      </c>
      <c r="AA1" s="10" t="s">
        <v>962</v>
      </c>
      <c r="AC1" s="10" t="s">
        <v>963</v>
      </c>
      <c r="AD1" s="10" t="s">
        <v>953</v>
      </c>
      <c r="AE1" s="10" t="s">
        <v>954</v>
      </c>
    </row>
    <row r="2" spans="1:31" x14ac:dyDescent="0.35">
      <c r="A2" t="s">
        <v>14</v>
      </c>
      <c r="B2" t="s">
        <v>15</v>
      </c>
      <c r="C2" s="1">
        <f t="shared" ref="C2:C33" si="0" xml:space="preserve"> IF( MID(AD2,5,1) = "/", DATE( LEFT(AD2,4), MID(AD2,6,2), RIGHT(AD2,2)),  IF(VALUE(MID(AD2,FIND("/",AD2)+1,2)) &gt; 12, DATE(RIGHT(AD2,4), LEFT(AD2,2),MID(AD2,4,2) ),DATE( RIGHT(AD2,4), MID(AD2,4,2), LEFT(AD2,2))) )</f>
        <v>45671</v>
      </c>
      <c r="D2" t="s">
        <v>955</v>
      </c>
      <c r="E2" t="s">
        <v>16</v>
      </c>
      <c r="F2" t="str">
        <f t="shared" ref="F2:F33" si="1">TRIM(SUBSTITUTE(SUBSTITUTE(SUBSTITUTE(SUBSTITUTE(SUBSTITUTE(SUBSTITUTE(SUBSTITUTE(SUBSTITUTE(E2,"Dr. ","")," MD","")," PhD","")," DDS","")," DVM",""),"Mr. ",""),"Miss ",""),"Md",""))</f>
        <v>Pamela Hanson</v>
      </c>
      <c r="G2" t="str">
        <f t="shared" ref="G2:G33" si="2">TRIM(PROPER(_xlfn.TEXTBEFORE(F2," ",1)))</f>
        <v>Pamela</v>
      </c>
      <c r="H2" t="str">
        <f t="shared" ref="H2:H33" si="3">PROPER(TRIM(_xlfn.TEXTAFTER(F2," ",-1)))</f>
        <v>Hanson</v>
      </c>
      <c r="I2" t="s">
        <v>17</v>
      </c>
      <c r="J2" t="str">
        <f>PROPER(TRIM(I2))</f>
        <v>West</v>
      </c>
      <c r="K2" t="s">
        <v>18</v>
      </c>
      <c r="L2" t="str">
        <f>PROPER(TRIM(K2))</f>
        <v>London</v>
      </c>
      <c r="M2" t="s">
        <v>19</v>
      </c>
      <c r="N2" t="str">
        <f>IF(PROPER(TRIM(M2)) = "Tech","Technology", PROPER(TRIM(M2)))</f>
        <v>Technology</v>
      </c>
      <c r="O2" t="s">
        <v>20</v>
      </c>
      <c r="P2" t="str">
        <f>PROPER(TRIM(O2))</f>
        <v>Laptop</v>
      </c>
      <c r="Q2" s="5">
        <v>4</v>
      </c>
      <c r="R2">
        <v>158.22999999999999</v>
      </c>
      <c r="S2" s="6">
        <f>IF(R2=" ", 0, R2)</f>
        <v>158.22999999999999</v>
      </c>
      <c r="T2" t="s">
        <v>21</v>
      </c>
      <c r="U2" s="2">
        <f>VALUE(T2)</f>
        <v>0.05</v>
      </c>
      <c r="V2">
        <v>546.28</v>
      </c>
      <c r="W2" s="2">
        <f>ROUND(VALUE(V2),2)</f>
        <v>546.28</v>
      </c>
      <c r="X2" t="s">
        <v>22</v>
      </c>
      <c r="Y2" t="str">
        <f>PROPER(TRIM(X2))</f>
        <v>Cash</v>
      </c>
      <c r="Z2" t="s">
        <v>23</v>
      </c>
      <c r="AA2" t="str">
        <f>PROPER(TRIM(Z2))</f>
        <v>Completed</v>
      </c>
      <c r="AC2" s="8"/>
      <c r="AD2" t="str">
        <f t="shared" ref="AD2:AD33" si="4">SUBSTITUTE(B2,"-","/")</f>
        <v>14/01/2025</v>
      </c>
      <c r="AE2" t="b">
        <f t="shared" ref="AE2:AE33" si="5">VALUE(MID(AD2,FIND("/",AD2)+1,2)) &gt; 12</f>
        <v>0</v>
      </c>
    </row>
    <row r="3" spans="1:31" x14ac:dyDescent="0.35">
      <c r="A3" t="s">
        <v>24</v>
      </c>
      <c r="B3" t="s">
        <v>25</v>
      </c>
      <c r="C3" s="1">
        <f t="shared" si="0"/>
        <v>45658</v>
      </c>
      <c r="D3" t="s">
        <v>26</v>
      </c>
      <c r="E3" t="s">
        <v>27</v>
      </c>
      <c r="F3" t="str">
        <f t="shared" si="1"/>
        <v>Jacob Garrett</v>
      </c>
      <c r="G3" t="str">
        <f t="shared" si="2"/>
        <v>Jacob</v>
      </c>
      <c r="H3" t="str">
        <f t="shared" si="3"/>
        <v>Garrett</v>
      </c>
      <c r="I3" t="s">
        <v>18</v>
      </c>
      <c r="J3" t="str">
        <f t="shared" ref="J3:J66" si="6">PROPER(TRIM(I3))</f>
        <v>London</v>
      </c>
      <c r="K3" t="s">
        <v>18</v>
      </c>
      <c r="L3" t="str">
        <f t="shared" ref="L3:L66" si="7">PROPER(TRIM(K3))</f>
        <v>London</v>
      </c>
      <c r="M3" t="s">
        <v>28</v>
      </c>
      <c r="N3" t="str">
        <f t="shared" ref="N3:N66" si="8">IF(PROPER(TRIM(M3)) = "Tech","Technology", PROPER(TRIM(M3)))</f>
        <v>Office Supplies</v>
      </c>
      <c r="O3" t="s">
        <v>29</v>
      </c>
      <c r="P3" t="str">
        <f t="shared" ref="P3:P66" si="9">PROPER(TRIM(O3))</f>
        <v>Paper</v>
      </c>
      <c r="Q3" s="5">
        <v>4</v>
      </c>
      <c r="R3">
        <v>420.9</v>
      </c>
      <c r="S3" s="6">
        <f t="shared" ref="S3:S66" si="10">IF(R3=" ", 0, R3)</f>
        <v>420.9</v>
      </c>
      <c r="T3">
        <v>0.05</v>
      </c>
      <c r="U3" s="2">
        <f t="shared" ref="U3:U66" si="11">VALUE(T3)</f>
        <v>0.05</v>
      </c>
      <c r="V3">
        <v>759.29</v>
      </c>
      <c r="W3" s="2">
        <f t="shared" ref="W3:W66" si="12">ROUND(VALUE(V3),2)</f>
        <v>759.29</v>
      </c>
      <c r="X3" t="s">
        <v>22</v>
      </c>
      <c r="Y3" t="str">
        <f t="shared" ref="Y3:Y66" si="13">PROPER(TRIM(X3))</f>
        <v>Cash</v>
      </c>
      <c r="Z3" t="s">
        <v>23</v>
      </c>
      <c r="AA3" t="str">
        <f t="shared" ref="AA3:AA66" si="14">PROPER(TRIM(Z3))</f>
        <v>Completed</v>
      </c>
      <c r="AC3" s="8" t="s">
        <v>964</v>
      </c>
      <c r="AD3" t="str">
        <f t="shared" si="4"/>
        <v>01/01/2025</v>
      </c>
      <c r="AE3" t="b">
        <f t="shared" si="5"/>
        <v>0</v>
      </c>
    </row>
    <row r="4" spans="1:31" x14ac:dyDescent="0.35">
      <c r="A4" t="s">
        <v>30</v>
      </c>
      <c r="B4" t="s">
        <v>31</v>
      </c>
      <c r="C4" s="1">
        <f t="shared" si="0"/>
        <v>45486</v>
      </c>
      <c r="D4" t="s">
        <v>32</v>
      </c>
      <c r="E4" t="s">
        <v>33</v>
      </c>
      <c r="F4" t="str">
        <f t="shared" si="1"/>
        <v>Donald Yang</v>
      </c>
      <c r="G4" t="str">
        <f t="shared" si="2"/>
        <v>Donald</v>
      </c>
      <c r="H4" t="str">
        <f t="shared" si="3"/>
        <v>Yang</v>
      </c>
      <c r="I4" t="s">
        <v>18</v>
      </c>
      <c r="J4" t="str">
        <f t="shared" si="6"/>
        <v>London</v>
      </c>
      <c r="K4" t="s">
        <v>34</v>
      </c>
      <c r="L4" t="str">
        <f t="shared" si="7"/>
        <v>Bristol</v>
      </c>
      <c r="M4" t="s">
        <v>19</v>
      </c>
      <c r="N4" t="str">
        <f t="shared" si="8"/>
        <v>Technology</v>
      </c>
      <c r="O4" t="s">
        <v>20</v>
      </c>
      <c r="P4" t="str">
        <f t="shared" si="9"/>
        <v>Laptop</v>
      </c>
      <c r="Q4" s="5">
        <v>14</v>
      </c>
      <c r="S4" s="6">
        <f t="shared" si="10"/>
        <v>0</v>
      </c>
      <c r="T4">
        <v>0</v>
      </c>
      <c r="U4" s="2">
        <f t="shared" si="11"/>
        <v>0</v>
      </c>
      <c r="V4">
        <v>460.51</v>
      </c>
      <c r="W4" s="2">
        <f t="shared" si="12"/>
        <v>460.51</v>
      </c>
      <c r="X4" t="s">
        <v>35</v>
      </c>
      <c r="Y4" t="str">
        <f t="shared" si="13"/>
        <v>Bank Transfer</v>
      </c>
      <c r="Z4" t="s">
        <v>23</v>
      </c>
      <c r="AA4" t="str">
        <f t="shared" si="14"/>
        <v>Completed</v>
      </c>
      <c r="AC4" s="8">
        <f>COUNTA(A2:A1000)</f>
        <v>200</v>
      </c>
      <c r="AD4" t="str">
        <f t="shared" si="4"/>
        <v>13/07/2024</v>
      </c>
      <c r="AE4" t="b">
        <f t="shared" si="5"/>
        <v>0</v>
      </c>
    </row>
    <row r="5" spans="1:31" x14ac:dyDescent="0.35">
      <c r="A5" t="s">
        <v>36</v>
      </c>
      <c r="B5" t="s">
        <v>37</v>
      </c>
      <c r="C5" s="1">
        <f t="shared" si="0"/>
        <v>45630</v>
      </c>
      <c r="D5" t="s">
        <v>38</v>
      </c>
      <c r="E5" t="s">
        <v>39</v>
      </c>
      <c r="F5" t="str">
        <f t="shared" si="1"/>
        <v>Sherri Evans</v>
      </c>
      <c r="G5" t="str">
        <f t="shared" si="2"/>
        <v>Sherri</v>
      </c>
      <c r="H5" t="str">
        <f t="shared" si="3"/>
        <v>Evans</v>
      </c>
      <c r="I5" t="s">
        <v>40</v>
      </c>
      <c r="J5" t="str">
        <f t="shared" si="6"/>
        <v>North</v>
      </c>
      <c r="K5" t="s">
        <v>41</v>
      </c>
      <c r="L5" t="str">
        <f t="shared" si="7"/>
        <v>Manchester</v>
      </c>
      <c r="M5" t="s">
        <v>19</v>
      </c>
      <c r="N5" t="str">
        <f t="shared" si="8"/>
        <v>Technology</v>
      </c>
      <c r="O5" t="s">
        <v>20</v>
      </c>
      <c r="P5" t="str">
        <f t="shared" si="9"/>
        <v>Laptop</v>
      </c>
      <c r="Q5" s="5">
        <v>5</v>
      </c>
      <c r="R5">
        <v>1283.7</v>
      </c>
      <c r="S5" s="6">
        <f t="shared" si="10"/>
        <v>1283.7</v>
      </c>
      <c r="T5" t="s">
        <v>42</v>
      </c>
      <c r="U5" s="2">
        <f t="shared" si="11"/>
        <v>0.1</v>
      </c>
      <c r="V5">
        <v>381.37</v>
      </c>
      <c r="W5" s="2">
        <f t="shared" si="12"/>
        <v>381.37</v>
      </c>
      <c r="X5" t="s">
        <v>35</v>
      </c>
      <c r="Y5" t="str">
        <f t="shared" si="13"/>
        <v>Bank Transfer</v>
      </c>
      <c r="Z5" t="s">
        <v>23</v>
      </c>
      <c r="AA5" t="str">
        <f t="shared" si="14"/>
        <v>Completed</v>
      </c>
      <c r="AC5" s="8"/>
      <c r="AD5" t="str">
        <f t="shared" si="4"/>
        <v>04/12/2024</v>
      </c>
      <c r="AE5" t="b">
        <f t="shared" si="5"/>
        <v>0</v>
      </c>
    </row>
    <row r="6" spans="1:31" x14ac:dyDescent="0.35">
      <c r="A6" t="s">
        <v>43</v>
      </c>
      <c r="B6" t="s">
        <v>44</v>
      </c>
      <c r="C6" s="1">
        <f t="shared" si="0"/>
        <v>45484</v>
      </c>
      <c r="D6" t="s">
        <v>45</v>
      </c>
      <c r="E6" t="s">
        <v>46</v>
      </c>
      <c r="F6" t="str">
        <f t="shared" si="1"/>
        <v>Sophia Schaefer</v>
      </c>
      <c r="G6" t="str">
        <f t="shared" si="2"/>
        <v>Sophia</v>
      </c>
      <c r="H6" t="str">
        <f t="shared" si="3"/>
        <v>Schaefer</v>
      </c>
      <c r="I6" t="s">
        <v>47</v>
      </c>
      <c r="J6" t="str">
        <f t="shared" si="6"/>
        <v>East</v>
      </c>
      <c r="K6" t="s">
        <v>18</v>
      </c>
      <c r="L6" t="str">
        <f t="shared" si="7"/>
        <v>London</v>
      </c>
      <c r="M6" t="s">
        <v>48</v>
      </c>
      <c r="N6" t="str">
        <f t="shared" si="8"/>
        <v>Technology</v>
      </c>
      <c r="O6" t="s">
        <v>20</v>
      </c>
      <c r="P6" t="str">
        <f t="shared" si="9"/>
        <v>Laptop</v>
      </c>
      <c r="Q6" s="5">
        <v>4</v>
      </c>
      <c r="R6">
        <v>572.29</v>
      </c>
      <c r="S6" s="6">
        <f t="shared" si="10"/>
        <v>572.29</v>
      </c>
      <c r="T6" t="s">
        <v>21</v>
      </c>
      <c r="U6" s="2">
        <f t="shared" si="11"/>
        <v>0.05</v>
      </c>
      <c r="V6">
        <v>640.72</v>
      </c>
      <c r="W6" s="2">
        <f t="shared" si="12"/>
        <v>640.72</v>
      </c>
      <c r="X6" t="s">
        <v>49</v>
      </c>
      <c r="Y6" t="str">
        <f t="shared" si="13"/>
        <v>Card</v>
      </c>
      <c r="Z6" t="s">
        <v>23</v>
      </c>
      <c r="AA6" t="str">
        <f t="shared" si="14"/>
        <v>Completed</v>
      </c>
      <c r="AC6" s="8"/>
      <c r="AD6" t="str">
        <f t="shared" si="4"/>
        <v>11/07/2024</v>
      </c>
      <c r="AE6" t="b">
        <f t="shared" si="5"/>
        <v>0</v>
      </c>
    </row>
    <row r="7" spans="1:31" x14ac:dyDescent="0.35">
      <c r="A7" t="s">
        <v>50</v>
      </c>
      <c r="B7" t="s">
        <v>51</v>
      </c>
      <c r="C7" s="1">
        <f t="shared" si="0"/>
        <v>45325</v>
      </c>
      <c r="D7" t="s">
        <v>52</v>
      </c>
      <c r="E7" t="s">
        <v>53</v>
      </c>
      <c r="F7" t="str">
        <f t="shared" si="1"/>
        <v>Ashley Hicks</v>
      </c>
      <c r="G7" t="str">
        <f t="shared" si="2"/>
        <v>Ashley</v>
      </c>
      <c r="H7" t="str">
        <f t="shared" si="3"/>
        <v>Hicks</v>
      </c>
      <c r="I7" t="s">
        <v>40</v>
      </c>
      <c r="J7" t="str">
        <f t="shared" si="6"/>
        <v>North</v>
      </c>
      <c r="K7" t="s">
        <v>18</v>
      </c>
      <c r="L7" t="str">
        <f t="shared" si="7"/>
        <v>London</v>
      </c>
      <c r="M7" t="s">
        <v>54</v>
      </c>
      <c r="N7" t="str">
        <f t="shared" si="8"/>
        <v>Furniture</v>
      </c>
      <c r="O7" t="s">
        <v>55</v>
      </c>
      <c r="P7" t="str">
        <f t="shared" si="9"/>
        <v>Chair</v>
      </c>
      <c r="Q7" s="5">
        <v>10</v>
      </c>
      <c r="R7">
        <v>475.44</v>
      </c>
      <c r="S7" s="6">
        <f t="shared" si="10"/>
        <v>475.44</v>
      </c>
      <c r="T7">
        <v>0.2</v>
      </c>
      <c r="U7" s="2">
        <f t="shared" si="11"/>
        <v>0.2</v>
      </c>
      <c r="V7">
        <v>396.84</v>
      </c>
      <c r="W7" s="2">
        <f t="shared" si="12"/>
        <v>396.84</v>
      </c>
      <c r="X7" t="s">
        <v>35</v>
      </c>
      <c r="Y7" t="str">
        <f t="shared" si="13"/>
        <v>Bank Transfer</v>
      </c>
      <c r="Z7" t="s">
        <v>56</v>
      </c>
      <c r="AA7" t="str">
        <f t="shared" si="14"/>
        <v>Cancelled</v>
      </c>
      <c r="AC7" s="8" t="s">
        <v>965</v>
      </c>
      <c r="AD7" t="str">
        <f t="shared" si="4"/>
        <v>03/02/2024</v>
      </c>
      <c r="AE7" t="b">
        <f t="shared" si="5"/>
        <v>0</v>
      </c>
    </row>
    <row r="8" spans="1:31" x14ac:dyDescent="0.35">
      <c r="A8" t="s">
        <v>57</v>
      </c>
      <c r="B8" t="s">
        <v>58</v>
      </c>
      <c r="C8" s="1">
        <f t="shared" si="0"/>
        <v>45477</v>
      </c>
      <c r="D8" t="s">
        <v>59</v>
      </c>
      <c r="E8" t="s">
        <v>60</v>
      </c>
      <c r="F8" t="str">
        <f t="shared" si="1"/>
        <v>Jennifer Smith</v>
      </c>
      <c r="G8" t="str">
        <f t="shared" si="2"/>
        <v>Jennifer</v>
      </c>
      <c r="H8" t="str">
        <f t="shared" si="3"/>
        <v>Smith</v>
      </c>
      <c r="I8" t="s">
        <v>61</v>
      </c>
      <c r="J8" t="str">
        <f t="shared" si="6"/>
        <v>East</v>
      </c>
      <c r="K8" t="s">
        <v>62</v>
      </c>
      <c r="L8" t="str">
        <f t="shared" si="7"/>
        <v>Leeds</v>
      </c>
      <c r="M8" t="s">
        <v>28</v>
      </c>
      <c r="N8" t="str">
        <f t="shared" si="8"/>
        <v>Office Supplies</v>
      </c>
      <c r="O8" t="s">
        <v>63</v>
      </c>
      <c r="P8" t="str">
        <f t="shared" si="9"/>
        <v>Pen</v>
      </c>
      <c r="Q8" s="5">
        <v>3</v>
      </c>
      <c r="S8" s="6">
        <f t="shared" si="10"/>
        <v>0</v>
      </c>
      <c r="T8">
        <v>0.2</v>
      </c>
      <c r="U8" s="2">
        <f t="shared" si="11"/>
        <v>0.2</v>
      </c>
      <c r="V8">
        <v>111.43</v>
      </c>
      <c r="W8" s="2">
        <f t="shared" si="12"/>
        <v>111.43</v>
      </c>
      <c r="X8" t="s">
        <v>49</v>
      </c>
      <c r="Y8" t="str">
        <f t="shared" si="13"/>
        <v>Card</v>
      </c>
      <c r="Z8" t="s">
        <v>56</v>
      </c>
      <c r="AA8" t="str">
        <f t="shared" si="14"/>
        <v>Cancelled</v>
      </c>
      <c r="AC8" s="8">
        <f>COUNTIF(AA:AA,AA2)</f>
        <v>143</v>
      </c>
      <c r="AD8" t="str">
        <f t="shared" si="4"/>
        <v>04/07/2024</v>
      </c>
      <c r="AE8" t="b">
        <f t="shared" si="5"/>
        <v>0</v>
      </c>
    </row>
    <row r="9" spans="1:31" x14ac:dyDescent="0.35">
      <c r="A9" t="s">
        <v>64</v>
      </c>
      <c r="B9" t="s">
        <v>65</v>
      </c>
      <c r="C9" s="1">
        <f t="shared" si="0"/>
        <v>45531</v>
      </c>
      <c r="D9" t="s">
        <v>66</v>
      </c>
      <c r="E9" t="s">
        <v>67</v>
      </c>
      <c r="F9" t="str">
        <f t="shared" si="1"/>
        <v>Leah Smith</v>
      </c>
      <c r="G9" t="str">
        <f t="shared" si="2"/>
        <v>Leah</v>
      </c>
      <c r="H9" t="str">
        <f t="shared" si="3"/>
        <v>Smith</v>
      </c>
      <c r="I9" t="s">
        <v>17</v>
      </c>
      <c r="J9" t="str">
        <f t="shared" si="6"/>
        <v>West</v>
      </c>
      <c r="K9" t="s">
        <v>41</v>
      </c>
      <c r="L9" t="str">
        <f t="shared" si="7"/>
        <v>Manchester</v>
      </c>
      <c r="M9" t="s">
        <v>54</v>
      </c>
      <c r="N9" t="str">
        <f t="shared" si="8"/>
        <v>Furniture</v>
      </c>
      <c r="O9" t="s">
        <v>68</v>
      </c>
      <c r="P9" t="str">
        <f t="shared" si="9"/>
        <v>Cabinet</v>
      </c>
      <c r="Q9" s="5">
        <v>14</v>
      </c>
      <c r="R9">
        <v>1022.02</v>
      </c>
      <c r="S9" s="6">
        <f t="shared" si="10"/>
        <v>1022.02</v>
      </c>
      <c r="T9">
        <v>0.1</v>
      </c>
      <c r="U9" s="2">
        <f t="shared" si="11"/>
        <v>0.1</v>
      </c>
      <c r="V9">
        <v>885.02</v>
      </c>
      <c r="W9" s="2">
        <f t="shared" si="12"/>
        <v>885.02</v>
      </c>
      <c r="X9" t="s">
        <v>69</v>
      </c>
      <c r="Y9" t="str">
        <f t="shared" si="13"/>
        <v>Paypal</v>
      </c>
      <c r="Z9" t="s">
        <v>23</v>
      </c>
      <c r="AA9" t="str">
        <f t="shared" si="14"/>
        <v>Completed</v>
      </c>
      <c r="AC9" s="8"/>
      <c r="AD9" t="str">
        <f t="shared" si="4"/>
        <v>08/27/2024</v>
      </c>
      <c r="AE9" t="b">
        <f t="shared" si="5"/>
        <v>1</v>
      </c>
    </row>
    <row r="10" spans="1:31" x14ac:dyDescent="0.35">
      <c r="A10" t="s">
        <v>70</v>
      </c>
      <c r="B10" t="s">
        <v>71</v>
      </c>
      <c r="C10" s="1">
        <f t="shared" si="0"/>
        <v>45721</v>
      </c>
      <c r="D10" t="s">
        <v>72</v>
      </c>
      <c r="E10" t="s">
        <v>73</v>
      </c>
      <c r="F10" t="str">
        <f t="shared" si="1"/>
        <v>Candice Huang</v>
      </c>
      <c r="G10" t="str">
        <f t="shared" si="2"/>
        <v>Candice</v>
      </c>
      <c r="H10" t="str">
        <f t="shared" si="3"/>
        <v>Huang</v>
      </c>
      <c r="I10" t="s">
        <v>40</v>
      </c>
      <c r="J10" t="str">
        <f t="shared" si="6"/>
        <v>North</v>
      </c>
      <c r="K10" t="s">
        <v>41</v>
      </c>
      <c r="L10" t="str">
        <f t="shared" si="7"/>
        <v>Manchester</v>
      </c>
      <c r="M10" t="s">
        <v>54</v>
      </c>
      <c r="N10" t="str">
        <f t="shared" si="8"/>
        <v>Furniture</v>
      </c>
      <c r="O10" t="s">
        <v>74</v>
      </c>
      <c r="P10" t="str">
        <f t="shared" si="9"/>
        <v>Desk</v>
      </c>
      <c r="Q10" s="5">
        <v>9</v>
      </c>
      <c r="R10">
        <v>763.98</v>
      </c>
      <c r="S10" s="6">
        <f t="shared" si="10"/>
        <v>763.98</v>
      </c>
      <c r="T10">
        <v>0.2</v>
      </c>
      <c r="U10" s="2">
        <f t="shared" si="11"/>
        <v>0.2</v>
      </c>
      <c r="V10">
        <v>626.04999999999995</v>
      </c>
      <c r="W10" s="2">
        <f t="shared" si="12"/>
        <v>626.04999999999995</v>
      </c>
      <c r="X10" t="s">
        <v>22</v>
      </c>
      <c r="Y10" t="str">
        <f t="shared" si="13"/>
        <v>Cash</v>
      </c>
      <c r="Z10" t="s">
        <v>23</v>
      </c>
      <c r="AA10" t="str">
        <f t="shared" si="14"/>
        <v>Completed</v>
      </c>
      <c r="AC10" s="8"/>
      <c r="AD10" t="str">
        <f t="shared" si="4"/>
        <v>05/03/2025</v>
      </c>
      <c r="AE10" t="b">
        <f t="shared" si="5"/>
        <v>0</v>
      </c>
    </row>
    <row r="11" spans="1:31" x14ac:dyDescent="0.35">
      <c r="A11" t="s">
        <v>75</v>
      </c>
      <c r="B11" t="s">
        <v>76</v>
      </c>
      <c r="C11" s="1">
        <f t="shared" si="0"/>
        <v>45542</v>
      </c>
      <c r="D11" t="s">
        <v>77</v>
      </c>
      <c r="E11" t="s">
        <v>78</v>
      </c>
      <c r="F11" t="str">
        <f t="shared" si="1"/>
        <v>Mary Rhodes</v>
      </c>
      <c r="G11" t="str">
        <f t="shared" si="2"/>
        <v>Mary</v>
      </c>
      <c r="H11" t="str">
        <f t="shared" si="3"/>
        <v>Rhodes</v>
      </c>
      <c r="I11" t="s">
        <v>17</v>
      </c>
      <c r="J11" t="str">
        <f t="shared" si="6"/>
        <v>West</v>
      </c>
      <c r="K11" t="s">
        <v>34</v>
      </c>
      <c r="L11" t="str">
        <f t="shared" si="7"/>
        <v>Bristol</v>
      </c>
      <c r="M11" t="s">
        <v>28</v>
      </c>
      <c r="N11" t="str">
        <f t="shared" si="8"/>
        <v>Office Supplies</v>
      </c>
      <c r="O11" t="s">
        <v>63</v>
      </c>
      <c r="P11" t="str">
        <f t="shared" si="9"/>
        <v>Pen</v>
      </c>
      <c r="Q11" s="5">
        <v>15</v>
      </c>
      <c r="R11">
        <v>1478.06</v>
      </c>
      <c r="S11" s="6">
        <f t="shared" si="10"/>
        <v>1478.06</v>
      </c>
      <c r="T11">
        <v>0.05</v>
      </c>
      <c r="U11" s="2">
        <f t="shared" si="11"/>
        <v>0.05</v>
      </c>
      <c r="V11">
        <v>240.97</v>
      </c>
      <c r="W11" s="2">
        <f t="shared" si="12"/>
        <v>240.97</v>
      </c>
      <c r="X11" t="s">
        <v>69</v>
      </c>
      <c r="Y11" t="str">
        <f t="shared" si="13"/>
        <v>Paypal</v>
      </c>
      <c r="Z11" t="s">
        <v>23</v>
      </c>
      <c r="AA11" t="str">
        <f t="shared" si="14"/>
        <v>Completed</v>
      </c>
      <c r="AC11" s="8" t="s">
        <v>966</v>
      </c>
      <c r="AD11" t="str">
        <f t="shared" si="4"/>
        <v>07/09/2024</v>
      </c>
      <c r="AE11" t="b">
        <f t="shared" si="5"/>
        <v>0</v>
      </c>
    </row>
    <row r="12" spans="1:31" x14ac:dyDescent="0.35">
      <c r="A12" t="s">
        <v>79</v>
      </c>
      <c r="B12" t="s">
        <v>80</v>
      </c>
      <c r="C12" s="1">
        <f t="shared" si="0"/>
        <v>45446</v>
      </c>
      <c r="D12" t="s">
        <v>81</v>
      </c>
      <c r="E12" t="s">
        <v>82</v>
      </c>
      <c r="F12" t="str">
        <f t="shared" si="1"/>
        <v>Anthony Miller</v>
      </c>
      <c r="G12" t="str">
        <f t="shared" si="2"/>
        <v>Anthony</v>
      </c>
      <c r="H12" t="str">
        <f t="shared" si="3"/>
        <v>Miller</v>
      </c>
      <c r="I12" t="s">
        <v>83</v>
      </c>
      <c r="J12" t="str">
        <f t="shared" si="6"/>
        <v>South</v>
      </c>
      <c r="K12" t="s">
        <v>34</v>
      </c>
      <c r="L12" t="str">
        <f t="shared" si="7"/>
        <v>Bristol</v>
      </c>
      <c r="M12" t="s">
        <v>28</v>
      </c>
      <c r="N12" t="str">
        <f t="shared" si="8"/>
        <v>Office Supplies</v>
      </c>
      <c r="O12" t="s">
        <v>29</v>
      </c>
      <c r="P12" t="str">
        <f t="shared" si="9"/>
        <v>Paper</v>
      </c>
      <c r="Q12" s="5">
        <v>3</v>
      </c>
      <c r="R12">
        <v>1309.29</v>
      </c>
      <c r="S12" s="6">
        <f t="shared" si="10"/>
        <v>1309.29</v>
      </c>
      <c r="T12" t="s">
        <v>21</v>
      </c>
      <c r="U12" s="2">
        <f t="shared" si="11"/>
        <v>0.05</v>
      </c>
      <c r="V12">
        <v>213.37</v>
      </c>
      <c r="W12" s="2">
        <f t="shared" si="12"/>
        <v>213.37</v>
      </c>
      <c r="X12" t="s">
        <v>35</v>
      </c>
      <c r="Y12" t="str">
        <f t="shared" si="13"/>
        <v>Bank Transfer</v>
      </c>
      <c r="Z12" t="s">
        <v>56</v>
      </c>
      <c r="AA12" t="str">
        <f t="shared" si="14"/>
        <v>Cancelled</v>
      </c>
      <c r="AC12" s="8">
        <f>COUNTIF(AA:AA,AA8)</f>
        <v>57</v>
      </c>
      <c r="AD12" t="str">
        <f t="shared" si="4"/>
        <v>03/06/2024</v>
      </c>
      <c r="AE12" t="b">
        <f t="shared" si="5"/>
        <v>0</v>
      </c>
    </row>
    <row r="13" spans="1:31" x14ac:dyDescent="0.35">
      <c r="A13" t="s">
        <v>84</v>
      </c>
      <c r="B13" t="s">
        <v>85</v>
      </c>
      <c r="C13" s="1">
        <f t="shared" si="0"/>
        <v>45752</v>
      </c>
      <c r="D13" t="s">
        <v>86</v>
      </c>
      <c r="E13" t="s">
        <v>87</v>
      </c>
      <c r="F13" t="str">
        <f t="shared" si="1"/>
        <v>Matthew Harris</v>
      </c>
      <c r="G13" t="str">
        <f t="shared" si="2"/>
        <v>Matthew</v>
      </c>
      <c r="H13" t="str">
        <f t="shared" si="3"/>
        <v>Harris</v>
      </c>
      <c r="I13" t="s">
        <v>47</v>
      </c>
      <c r="J13" t="str">
        <f>PROPER(TRIM(I13))</f>
        <v>East</v>
      </c>
      <c r="K13" t="s">
        <v>18</v>
      </c>
      <c r="L13" t="str">
        <f t="shared" si="7"/>
        <v>London</v>
      </c>
      <c r="M13" t="s">
        <v>48</v>
      </c>
      <c r="N13" t="str">
        <f t="shared" si="8"/>
        <v>Technology</v>
      </c>
      <c r="O13" t="s">
        <v>88</v>
      </c>
      <c r="P13" t="str">
        <f t="shared" si="9"/>
        <v>Mouse</v>
      </c>
      <c r="Q13" s="5">
        <v>4</v>
      </c>
      <c r="R13">
        <v>36.450000000000003</v>
      </c>
      <c r="S13" s="6">
        <f t="shared" si="10"/>
        <v>36.450000000000003</v>
      </c>
      <c r="T13">
        <v>0</v>
      </c>
      <c r="U13" s="2">
        <f t="shared" si="11"/>
        <v>0</v>
      </c>
      <c r="V13">
        <v>589.26</v>
      </c>
      <c r="W13" s="2">
        <f t="shared" si="12"/>
        <v>589.26</v>
      </c>
      <c r="X13" t="s">
        <v>49</v>
      </c>
      <c r="Y13" t="str">
        <f t="shared" si="13"/>
        <v>Card</v>
      </c>
      <c r="Z13" t="s">
        <v>23</v>
      </c>
      <c r="AA13" t="str">
        <f t="shared" si="14"/>
        <v>Completed</v>
      </c>
      <c r="AC13" s="8"/>
      <c r="AD13" t="str">
        <f t="shared" si="4"/>
        <v>2025/04/05</v>
      </c>
      <c r="AE13" t="b">
        <f t="shared" si="5"/>
        <v>0</v>
      </c>
    </row>
    <row r="14" spans="1:31" x14ac:dyDescent="0.35">
      <c r="A14" t="s">
        <v>89</v>
      </c>
      <c r="B14" t="s">
        <v>90</v>
      </c>
      <c r="C14" s="1">
        <f t="shared" si="0"/>
        <v>45555</v>
      </c>
      <c r="D14" t="s">
        <v>91</v>
      </c>
      <c r="E14" t="s">
        <v>92</v>
      </c>
      <c r="F14" t="str">
        <f t="shared" si="1"/>
        <v>Claire Rodriguez</v>
      </c>
      <c r="G14" t="str">
        <f t="shared" si="2"/>
        <v>Claire</v>
      </c>
      <c r="H14" t="str">
        <f t="shared" si="3"/>
        <v>Rodriguez</v>
      </c>
      <c r="I14" t="s">
        <v>93</v>
      </c>
      <c r="J14" t="str">
        <f t="shared" si="6"/>
        <v>North</v>
      </c>
      <c r="K14" t="s">
        <v>94</v>
      </c>
      <c r="L14" t="str">
        <f t="shared" si="7"/>
        <v>Birmingham</v>
      </c>
      <c r="M14" t="s">
        <v>48</v>
      </c>
      <c r="N14" t="str">
        <f t="shared" si="8"/>
        <v>Technology</v>
      </c>
      <c r="O14" t="s">
        <v>20</v>
      </c>
      <c r="P14" t="str">
        <f t="shared" si="9"/>
        <v>Laptop</v>
      </c>
      <c r="Q14" s="5">
        <v>11</v>
      </c>
      <c r="R14">
        <v>811.15</v>
      </c>
      <c r="S14" s="6">
        <f t="shared" si="10"/>
        <v>811.15</v>
      </c>
      <c r="T14" t="s">
        <v>21</v>
      </c>
      <c r="U14" s="2">
        <f t="shared" si="11"/>
        <v>0.05</v>
      </c>
      <c r="V14">
        <v>882.62</v>
      </c>
      <c r="W14" s="2">
        <f t="shared" si="12"/>
        <v>882.62</v>
      </c>
      <c r="X14" t="s">
        <v>22</v>
      </c>
      <c r="Y14" t="str">
        <f t="shared" si="13"/>
        <v>Cash</v>
      </c>
      <c r="Z14" t="s">
        <v>23</v>
      </c>
      <c r="AA14" t="str">
        <f t="shared" si="14"/>
        <v>Completed</v>
      </c>
      <c r="AC14" s="8"/>
      <c r="AD14" t="str">
        <f t="shared" si="4"/>
        <v>20/09/2024</v>
      </c>
      <c r="AE14" t="b">
        <f t="shared" si="5"/>
        <v>0</v>
      </c>
    </row>
    <row r="15" spans="1:31" x14ac:dyDescent="0.35">
      <c r="A15" t="s">
        <v>95</v>
      </c>
      <c r="B15" t="s">
        <v>96</v>
      </c>
      <c r="C15" s="1">
        <f t="shared" si="0"/>
        <v>45473</v>
      </c>
      <c r="D15" t="s">
        <v>97</v>
      </c>
      <c r="E15" t="s">
        <v>98</v>
      </c>
      <c r="F15" t="str">
        <f t="shared" si="1"/>
        <v>Aaron Smith</v>
      </c>
      <c r="G15" t="str">
        <f t="shared" si="2"/>
        <v>Aaron</v>
      </c>
      <c r="H15" t="str">
        <f t="shared" si="3"/>
        <v>Smith</v>
      </c>
      <c r="I15" t="s">
        <v>17</v>
      </c>
      <c r="J15" t="str">
        <f t="shared" si="6"/>
        <v>West</v>
      </c>
      <c r="K15" t="s">
        <v>18</v>
      </c>
      <c r="L15" t="str">
        <f t="shared" si="7"/>
        <v>London</v>
      </c>
      <c r="M15" t="s">
        <v>19</v>
      </c>
      <c r="N15" t="str">
        <f t="shared" si="8"/>
        <v>Technology</v>
      </c>
      <c r="O15" t="s">
        <v>88</v>
      </c>
      <c r="P15" t="str">
        <f t="shared" si="9"/>
        <v>Mouse</v>
      </c>
      <c r="Q15" s="5">
        <v>12</v>
      </c>
      <c r="R15">
        <v>981.92</v>
      </c>
      <c r="S15" s="6">
        <f t="shared" si="10"/>
        <v>981.92</v>
      </c>
      <c r="T15">
        <v>0.2</v>
      </c>
      <c r="U15" s="2">
        <f t="shared" si="11"/>
        <v>0.2</v>
      </c>
      <c r="V15">
        <v>62.49</v>
      </c>
      <c r="W15" s="2">
        <f t="shared" si="12"/>
        <v>62.49</v>
      </c>
      <c r="X15" t="s">
        <v>22</v>
      </c>
      <c r="Y15" t="str">
        <f t="shared" si="13"/>
        <v>Cash</v>
      </c>
      <c r="Z15" t="s">
        <v>23</v>
      </c>
      <c r="AA15" t="str">
        <f t="shared" si="14"/>
        <v>Completed</v>
      </c>
      <c r="AC15" s="8" t="s">
        <v>967</v>
      </c>
      <c r="AD15" t="str">
        <f t="shared" si="4"/>
        <v>2024/06/30</v>
      </c>
      <c r="AE15" t="b">
        <f t="shared" si="5"/>
        <v>0</v>
      </c>
    </row>
    <row r="16" spans="1:31" x14ac:dyDescent="0.35">
      <c r="A16" t="s">
        <v>99</v>
      </c>
      <c r="B16" t="s">
        <v>100</v>
      </c>
      <c r="C16" s="1">
        <f t="shared" si="0"/>
        <v>45363</v>
      </c>
      <c r="D16" t="s">
        <v>101</v>
      </c>
      <c r="E16" t="s">
        <v>102</v>
      </c>
      <c r="F16" t="str">
        <f t="shared" si="1"/>
        <v>Kathy Smith</v>
      </c>
      <c r="G16" t="str">
        <f t="shared" si="2"/>
        <v>Kathy</v>
      </c>
      <c r="H16" t="str">
        <f t="shared" si="3"/>
        <v>Smith</v>
      </c>
      <c r="I16" t="s">
        <v>47</v>
      </c>
      <c r="J16" t="str">
        <f t="shared" si="6"/>
        <v>East</v>
      </c>
      <c r="K16" t="s">
        <v>103</v>
      </c>
      <c r="L16" t="str">
        <f t="shared" si="7"/>
        <v>Norwich</v>
      </c>
      <c r="M16" t="s">
        <v>28</v>
      </c>
      <c r="N16" t="str">
        <f t="shared" si="8"/>
        <v>Office Supplies</v>
      </c>
      <c r="O16" t="s">
        <v>63</v>
      </c>
      <c r="P16" t="str">
        <f t="shared" si="9"/>
        <v>Pen</v>
      </c>
      <c r="Q16" s="5">
        <v>4</v>
      </c>
      <c r="R16">
        <v>117.7</v>
      </c>
      <c r="S16" s="6">
        <f t="shared" si="10"/>
        <v>117.7</v>
      </c>
      <c r="T16">
        <v>0</v>
      </c>
      <c r="U16" s="2">
        <f t="shared" si="11"/>
        <v>0</v>
      </c>
      <c r="V16">
        <v>856.25</v>
      </c>
      <c r="W16" s="2">
        <f t="shared" si="12"/>
        <v>856.25</v>
      </c>
      <c r="X16" t="s">
        <v>22</v>
      </c>
      <c r="Y16" t="str">
        <f t="shared" si="13"/>
        <v>Cash</v>
      </c>
      <c r="Z16" t="s">
        <v>23</v>
      </c>
      <c r="AA16" t="str">
        <f t="shared" si="14"/>
        <v>Completed</v>
      </c>
      <c r="AC16" s="9">
        <f>AC8/AC4</f>
        <v>0.71499999999999997</v>
      </c>
      <c r="AD16" t="str">
        <f t="shared" si="4"/>
        <v>2024/03/12</v>
      </c>
      <c r="AE16" t="b">
        <f t="shared" si="5"/>
        <v>0</v>
      </c>
    </row>
    <row r="17" spans="1:31" x14ac:dyDescent="0.35">
      <c r="A17" t="s">
        <v>104</v>
      </c>
      <c r="B17" t="s">
        <v>105</v>
      </c>
      <c r="C17" s="1">
        <f t="shared" si="0"/>
        <v>45538</v>
      </c>
      <c r="D17" t="s">
        <v>106</v>
      </c>
      <c r="E17" t="s">
        <v>107</v>
      </c>
      <c r="F17" t="str">
        <f t="shared" si="1"/>
        <v>Victor Thomas</v>
      </c>
      <c r="G17" t="str">
        <f t="shared" si="2"/>
        <v>Victor</v>
      </c>
      <c r="H17" t="str">
        <f t="shared" si="3"/>
        <v>Thomas</v>
      </c>
      <c r="I17" t="s">
        <v>93</v>
      </c>
      <c r="J17" t="str">
        <f t="shared" si="6"/>
        <v>North</v>
      </c>
      <c r="K17" t="s">
        <v>18</v>
      </c>
      <c r="L17" t="str">
        <f t="shared" si="7"/>
        <v>London</v>
      </c>
      <c r="M17" t="s">
        <v>54</v>
      </c>
      <c r="N17" t="str">
        <f t="shared" si="8"/>
        <v>Furniture</v>
      </c>
      <c r="O17" t="s">
        <v>55</v>
      </c>
      <c r="P17" t="str">
        <f t="shared" si="9"/>
        <v>Chair</v>
      </c>
      <c r="Q17" s="5">
        <v>7</v>
      </c>
      <c r="S17" s="6">
        <f t="shared" si="10"/>
        <v>0</v>
      </c>
      <c r="T17" t="s">
        <v>42</v>
      </c>
      <c r="U17" s="2">
        <f t="shared" si="11"/>
        <v>0.1</v>
      </c>
      <c r="V17">
        <v>391.64</v>
      </c>
      <c r="W17" s="2">
        <f t="shared" si="12"/>
        <v>391.64</v>
      </c>
      <c r="X17" t="s">
        <v>22</v>
      </c>
      <c r="Y17" t="str">
        <f t="shared" si="13"/>
        <v>Cash</v>
      </c>
      <c r="Z17" t="s">
        <v>23</v>
      </c>
      <c r="AA17" t="str">
        <f t="shared" si="14"/>
        <v>Completed</v>
      </c>
      <c r="AC17" s="8"/>
      <c r="AD17" t="str">
        <f t="shared" si="4"/>
        <v>03/09/2024</v>
      </c>
      <c r="AE17" t="b">
        <f t="shared" si="5"/>
        <v>0</v>
      </c>
    </row>
    <row r="18" spans="1:31" x14ac:dyDescent="0.35">
      <c r="A18" t="s">
        <v>108</v>
      </c>
      <c r="B18" t="s">
        <v>109</v>
      </c>
      <c r="C18" s="1">
        <f t="shared" si="0"/>
        <v>45588</v>
      </c>
      <c r="D18" t="s">
        <v>110</v>
      </c>
      <c r="E18" t="s">
        <v>111</v>
      </c>
      <c r="F18" t="str">
        <f t="shared" si="1"/>
        <v>Theresa Carlson</v>
      </c>
      <c r="G18" t="str">
        <f t="shared" si="2"/>
        <v>Theresa</v>
      </c>
      <c r="H18" t="str">
        <f t="shared" si="3"/>
        <v>Carlson</v>
      </c>
      <c r="I18" t="s">
        <v>17</v>
      </c>
      <c r="J18" t="str">
        <f t="shared" si="6"/>
        <v>West</v>
      </c>
      <c r="K18" t="s">
        <v>18</v>
      </c>
      <c r="L18" t="str">
        <f t="shared" si="7"/>
        <v>London</v>
      </c>
      <c r="M18" t="s">
        <v>112</v>
      </c>
      <c r="N18" t="str">
        <f t="shared" si="8"/>
        <v>Technology</v>
      </c>
      <c r="O18" t="s">
        <v>20</v>
      </c>
      <c r="P18" t="str">
        <f t="shared" si="9"/>
        <v>Laptop</v>
      </c>
      <c r="Q18" s="5">
        <v>6</v>
      </c>
      <c r="R18">
        <v>878.35</v>
      </c>
      <c r="S18" s="6">
        <f t="shared" si="10"/>
        <v>878.35</v>
      </c>
      <c r="T18">
        <v>0.05</v>
      </c>
      <c r="U18" s="2">
        <f t="shared" si="11"/>
        <v>0.05</v>
      </c>
      <c r="V18">
        <v>853.01</v>
      </c>
      <c r="W18" s="2">
        <f t="shared" si="12"/>
        <v>853.01</v>
      </c>
      <c r="X18" t="s">
        <v>49</v>
      </c>
      <c r="Y18" t="str">
        <f t="shared" si="13"/>
        <v>Card</v>
      </c>
      <c r="Z18" t="s">
        <v>23</v>
      </c>
      <c r="AA18" t="str">
        <f t="shared" si="14"/>
        <v>Completed</v>
      </c>
      <c r="AC18" s="8"/>
      <c r="AD18" t="str">
        <f t="shared" si="4"/>
        <v>2024/10/23</v>
      </c>
      <c r="AE18" t="b">
        <f t="shared" si="5"/>
        <v>0</v>
      </c>
    </row>
    <row r="19" spans="1:31" x14ac:dyDescent="0.35">
      <c r="A19" t="s">
        <v>113</v>
      </c>
      <c r="B19" t="s">
        <v>114</v>
      </c>
      <c r="C19" s="1">
        <f t="shared" si="0"/>
        <v>45325</v>
      </c>
      <c r="D19" t="s">
        <v>115</v>
      </c>
      <c r="E19" t="s">
        <v>116</v>
      </c>
      <c r="F19" t="str">
        <f t="shared" si="1"/>
        <v>Rachel Collins</v>
      </c>
      <c r="G19" t="str">
        <f t="shared" si="2"/>
        <v>Rachel</v>
      </c>
      <c r="H19" t="str">
        <f t="shared" si="3"/>
        <v>Collins</v>
      </c>
      <c r="I19" t="s">
        <v>83</v>
      </c>
      <c r="J19" t="str">
        <f t="shared" si="6"/>
        <v>South</v>
      </c>
      <c r="K19" t="s">
        <v>34</v>
      </c>
      <c r="L19" t="str">
        <f t="shared" si="7"/>
        <v>Bristol</v>
      </c>
      <c r="M19" t="s">
        <v>112</v>
      </c>
      <c r="N19" t="str">
        <f t="shared" si="8"/>
        <v>Technology</v>
      </c>
      <c r="O19" t="s">
        <v>88</v>
      </c>
      <c r="P19" t="str">
        <f t="shared" si="9"/>
        <v>Mouse</v>
      </c>
      <c r="Q19" s="5">
        <v>10</v>
      </c>
      <c r="R19">
        <v>930.98</v>
      </c>
      <c r="S19" s="6">
        <f t="shared" si="10"/>
        <v>930.98</v>
      </c>
      <c r="T19" t="s">
        <v>21</v>
      </c>
      <c r="U19" s="2">
        <f t="shared" si="11"/>
        <v>0.05</v>
      </c>
      <c r="V19">
        <v>584.5</v>
      </c>
      <c r="W19" s="2">
        <f t="shared" si="12"/>
        <v>584.5</v>
      </c>
      <c r="X19" t="s">
        <v>35</v>
      </c>
      <c r="Y19" t="str">
        <f t="shared" si="13"/>
        <v>Bank Transfer</v>
      </c>
      <c r="Z19" t="s">
        <v>23</v>
      </c>
      <c r="AA19" t="str">
        <f t="shared" si="14"/>
        <v>Completed</v>
      </c>
      <c r="AC19" s="8" t="s">
        <v>968</v>
      </c>
      <c r="AD19" t="str">
        <f t="shared" si="4"/>
        <v>03/02/2024</v>
      </c>
      <c r="AE19" t="b">
        <f t="shared" si="5"/>
        <v>0</v>
      </c>
    </row>
    <row r="20" spans="1:31" x14ac:dyDescent="0.35">
      <c r="A20" t="s">
        <v>117</v>
      </c>
      <c r="B20" t="s">
        <v>118</v>
      </c>
      <c r="C20" s="1">
        <f t="shared" si="0"/>
        <v>45359</v>
      </c>
      <c r="D20" t="s">
        <v>119</v>
      </c>
      <c r="E20" t="s">
        <v>120</v>
      </c>
      <c r="F20" t="str">
        <f t="shared" si="1"/>
        <v>Brandon Ingram</v>
      </c>
      <c r="G20" t="str">
        <f t="shared" si="2"/>
        <v>Brandon</v>
      </c>
      <c r="H20" t="str">
        <f t="shared" si="3"/>
        <v>Ingram</v>
      </c>
      <c r="I20" t="s">
        <v>83</v>
      </c>
      <c r="J20" t="str">
        <f t="shared" si="6"/>
        <v>South</v>
      </c>
      <c r="K20" t="s">
        <v>62</v>
      </c>
      <c r="L20" t="str">
        <f t="shared" si="7"/>
        <v>Leeds</v>
      </c>
      <c r="M20" t="s">
        <v>48</v>
      </c>
      <c r="N20" t="str">
        <f t="shared" si="8"/>
        <v>Technology</v>
      </c>
      <c r="O20" t="s">
        <v>88</v>
      </c>
      <c r="P20" t="str">
        <f t="shared" si="9"/>
        <v>Mouse</v>
      </c>
      <c r="Q20" s="5">
        <v>6</v>
      </c>
      <c r="S20" s="6">
        <f t="shared" si="10"/>
        <v>0</v>
      </c>
      <c r="T20" t="s">
        <v>21</v>
      </c>
      <c r="U20" s="2">
        <f t="shared" si="11"/>
        <v>0.05</v>
      </c>
      <c r="V20">
        <v>621.91999999999996</v>
      </c>
      <c r="W20" s="2">
        <f t="shared" si="12"/>
        <v>621.91999999999996</v>
      </c>
      <c r="X20" t="s">
        <v>35</v>
      </c>
      <c r="Y20" t="str">
        <f t="shared" si="13"/>
        <v>Bank Transfer</v>
      </c>
      <c r="Z20" t="s">
        <v>23</v>
      </c>
      <c r="AA20" t="str">
        <f t="shared" si="14"/>
        <v>Completed</v>
      </c>
      <c r="AC20" s="9">
        <f>AC12/AC4</f>
        <v>0.28499999999999998</v>
      </c>
      <c r="AD20" t="str">
        <f t="shared" si="4"/>
        <v>2024/03/08</v>
      </c>
      <c r="AE20" t="b">
        <f t="shared" si="5"/>
        <v>0</v>
      </c>
    </row>
    <row r="21" spans="1:31" x14ac:dyDescent="0.35">
      <c r="A21" t="s">
        <v>121</v>
      </c>
      <c r="B21" t="s">
        <v>122</v>
      </c>
      <c r="C21" s="1">
        <f t="shared" si="0"/>
        <v>45742</v>
      </c>
      <c r="D21" t="s">
        <v>955</v>
      </c>
      <c r="E21" t="s">
        <v>123</v>
      </c>
      <c r="F21" t="str">
        <f t="shared" si="1"/>
        <v>Brian Schultz</v>
      </c>
      <c r="G21" t="str">
        <f t="shared" si="2"/>
        <v>Brian</v>
      </c>
      <c r="H21" t="str">
        <f t="shared" si="3"/>
        <v>Schultz</v>
      </c>
      <c r="I21" t="s">
        <v>18</v>
      </c>
      <c r="J21" t="str">
        <f t="shared" si="6"/>
        <v>London</v>
      </c>
      <c r="K21" t="s">
        <v>34</v>
      </c>
      <c r="L21" t="str">
        <f t="shared" si="7"/>
        <v>Bristol</v>
      </c>
      <c r="M21" t="s">
        <v>48</v>
      </c>
      <c r="N21" t="str">
        <f t="shared" si="8"/>
        <v>Technology</v>
      </c>
      <c r="O21" t="s">
        <v>20</v>
      </c>
      <c r="P21" t="str">
        <f t="shared" si="9"/>
        <v>Laptop</v>
      </c>
      <c r="Q21" s="5">
        <v>5</v>
      </c>
      <c r="R21">
        <v>1251.45</v>
      </c>
      <c r="S21" s="6">
        <f t="shared" si="10"/>
        <v>1251.45</v>
      </c>
      <c r="T21">
        <v>0.2</v>
      </c>
      <c r="U21" s="2">
        <f t="shared" si="11"/>
        <v>0.2</v>
      </c>
      <c r="V21">
        <v>612.45000000000005</v>
      </c>
      <c r="W21" s="2">
        <f t="shared" si="12"/>
        <v>612.45000000000005</v>
      </c>
      <c r="X21" t="s">
        <v>49</v>
      </c>
      <c r="Y21" t="str">
        <f t="shared" si="13"/>
        <v>Card</v>
      </c>
      <c r="Z21" t="s">
        <v>23</v>
      </c>
      <c r="AA21" t="str">
        <f t="shared" si="14"/>
        <v>Completed</v>
      </c>
      <c r="AC21" s="8"/>
      <c r="AD21" t="str">
        <f t="shared" si="4"/>
        <v>26/03/2025</v>
      </c>
      <c r="AE21" t="b">
        <f t="shared" si="5"/>
        <v>0</v>
      </c>
    </row>
    <row r="22" spans="1:31" x14ac:dyDescent="0.35">
      <c r="A22" t="s">
        <v>124</v>
      </c>
      <c r="B22" t="s">
        <v>125</v>
      </c>
      <c r="C22" s="1">
        <f t="shared" si="0"/>
        <v>45747</v>
      </c>
      <c r="D22" t="s">
        <v>38</v>
      </c>
      <c r="E22" t="s">
        <v>126</v>
      </c>
      <c r="F22" t="str">
        <f t="shared" si="1"/>
        <v>Alicia Johnson</v>
      </c>
      <c r="G22" t="str">
        <f t="shared" si="2"/>
        <v>Alicia</v>
      </c>
      <c r="H22" t="str">
        <f t="shared" si="3"/>
        <v>Johnson</v>
      </c>
      <c r="I22" t="s">
        <v>93</v>
      </c>
      <c r="J22" t="str">
        <f t="shared" si="6"/>
        <v>North</v>
      </c>
      <c r="K22" t="s">
        <v>41</v>
      </c>
      <c r="L22" t="str">
        <f t="shared" si="7"/>
        <v>Manchester</v>
      </c>
      <c r="M22" t="s">
        <v>48</v>
      </c>
      <c r="N22" t="str">
        <f t="shared" si="8"/>
        <v>Technology</v>
      </c>
      <c r="O22" t="s">
        <v>20</v>
      </c>
      <c r="P22" t="str">
        <f t="shared" si="9"/>
        <v>Laptop</v>
      </c>
      <c r="Q22" s="5">
        <v>9</v>
      </c>
      <c r="R22">
        <v>426.23</v>
      </c>
      <c r="S22" s="6">
        <f t="shared" si="10"/>
        <v>426.23</v>
      </c>
      <c r="T22">
        <v>0.2</v>
      </c>
      <c r="U22" s="2">
        <f t="shared" si="11"/>
        <v>0.2</v>
      </c>
      <c r="V22">
        <v>344.19</v>
      </c>
      <c r="W22" s="2">
        <f t="shared" si="12"/>
        <v>344.19</v>
      </c>
      <c r="X22" t="s">
        <v>49</v>
      </c>
      <c r="Y22" t="str">
        <f t="shared" si="13"/>
        <v>Card</v>
      </c>
      <c r="Z22" t="s">
        <v>23</v>
      </c>
      <c r="AA22" t="str">
        <f t="shared" si="14"/>
        <v>Completed</v>
      </c>
      <c r="AC22" s="8"/>
      <c r="AD22" t="str">
        <f t="shared" si="4"/>
        <v>31/03/2025</v>
      </c>
      <c r="AE22" t="b">
        <f t="shared" si="5"/>
        <v>0</v>
      </c>
    </row>
    <row r="23" spans="1:31" x14ac:dyDescent="0.35">
      <c r="A23" t="s">
        <v>127</v>
      </c>
      <c r="B23" t="s">
        <v>128</v>
      </c>
      <c r="C23" s="1">
        <f t="shared" si="0"/>
        <v>45314</v>
      </c>
      <c r="D23" t="s">
        <v>129</v>
      </c>
      <c r="E23" t="s">
        <v>130</v>
      </c>
      <c r="F23" t="str">
        <f t="shared" si="1"/>
        <v>Brittney Smith</v>
      </c>
      <c r="G23" t="str">
        <f t="shared" si="2"/>
        <v>Brittney</v>
      </c>
      <c r="H23" t="str">
        <f t="shared" si="3"/>
        <v>Smith</v>
      </c>
      <c r="I23" t="s">
        <v>17</v>
      </c>
      <c r="J23" t="str">
        <f t="shared" si="6"/>
        <v>West</v>
      </c>
      <c r="K23" t="s">
        <v>103</v>
      </c>
      <c r="L23" t="str">
        <f t="shared" si="7"/>
        <v>Norwich</v>
      </c>
      <c r="M23" t="s">
        <v>54</v>
      </c>
      <c r="N23" t="str">
        <f t="shared" si="8"/>
        <v>Furniture</v>
      </c>
      <c r="O23" t="s">
        <v>55</v>
      </c>
      <c r="P23" t="str">
        <f t="shared" si="9"/>
        <v>Chair</v>
      </c>
      <c r="Q23" s="5">
        <v>13</v>
      </c>
      <c r="R23">
        <v>1469.8</v>
      </c>
      <c r="S23" s="6">
        <f t="shared" si="10"/>
        <v>1469.8</v>
      </c>
      <c r="T23">
        <v>0.2</v>
      </c>
      <c r="U23" s="2">
        <f t="shared" si="11"/>
        <v>0.2</v>
      </c>
      <c r="V23">
        <v>442.95</v>
      </c>
      <c r="W23" s="2">
        <f t="shared" si="12"/>
        <v>442.95</v>
      </c>
      <c r="X23" t="s">
        <v>22</v>
      </c>
      <c r="Y23" t="str">
        <f t="shared" si="13"/>
        <v>Cash</v>
      </c>
      <c r="Z23" t="s">
        <v>23</v>
      </c>
      <c r="AA23" t="str">
        <f t="shared" si="14"/>
        <v>Completed</v>
      </c>
      <c r="AC23" s="8" t="s">
        <v>969</v>
      </c>
      <c r="AD23" t="str">
        <f t="shared" si="4"/>
        <v>23/01/2024</v>
      </c>
      <c r="AE23" t="b">
        <f t="shared" si="5"/>
        <v>0</v>
      </c>
    </row>
    <row r="24" spans="1:31" x14ac:dyDescent="0.35">
      <c r="A24" t="s">
        <v>131</v>
      </c>
      <c r="B24" t="s">
        <v>132</v>
      </c>
      <c r="C24" s="1">
        <f t="shared" si="0"/>
        <v>45512</v>
      </c>
      <c r="D24" t="s">
        <v>133</v>
      </c>
      <c r="E24" t="s">
        <v>134</v>
      </c>
      <c r="F24" t="str">
        <f t="shared" si="1"/>
        <v>Andrew Burgess</v>
      </c>
      <c r="G24" t="str">
        <f t="shared" si="2"/>
        <v>Andrew</v>
      </c>
      <c r="H24" t="str">
        <f t="shared" si="3"/>
        <v>Burgess</v>
      </c>
      <c r="I24" t="s">
        <v>17</v>
      </c>
      <c r="J24" t="str">
        <f t="shared" si="6"/>
        <v>West</v>
      </c>
      <c r="K24" t="s">
        <v>41</v>
      </c>
      <c r="L24" t="str">
        <f t="shared" si="7"/>
        <v>Manchester</v>
      </c>
      <c r="M24" t="s">
        <v>48</v>
      </c>
      <c r="N24" t="str">
        <f t="shared" si="8"/>
        <v>Technology</v>
      </c>
      <c r="O24" t="s">
        <v>135</v>
      </c>
      <c r="P24" t="str">
        <f t="shared" si="9"/>
        <v>Monitor</v>
      </c>
      <c r="Q24" s="5">
        <v>5</v>
      </c>
      <c r="R24">
        <v>1399.97</v>
      </c>
      <c r="S24" s="6">
        <f t="shared" si="10"/>
        <v>1399.97</v>
      </c>
      <c r="T24">
        <v>0.1</v>
      </c>
      <c r="U24" s="2">
        <f t="shared" si="11"/>
        <v>0.1</v>
      </c>
      <c r="V24">
        <v>41.82</v>
      </c>
      <c r="W24" s="2">
        <f t="shared" si="12"/>
        <v>41.82</v>
      </c>
      <c r="X24" t="s">
        <v>69</v>
      </c>
      <c r="Y24" t="str">
        <f t="shared" si="13"/>
        <v>Paypal</v>
      </c>
      <c r="Z24" t="s">
        <v>23</v>
      </c>
      <c r="AA24" t="str">
        <f t="shared" si="14"/>
        <v>Completed</v>
      </c>
      <c r="AC24" s="8" cm="1">
        <f t="array" ref="AC24">COUNTA(_xlfn.UNIQUE(_xlfn._xlws.FILTER(D2:D201,D2:D201 &lt;&gt; "No Acct"),FALSE,FALSE))</f>
        <v>87</v>
      </c>
      <c r="AD24" t="str">
        <f t="shared" si="4"/>
        <v>08/08/2024</v>
      </c>
      <c r="AE24" t="b">
        <f t="shared" si="5"/>
        <v>0</v>
      </c>
    </row>
    <row r="25" spans="1:31" x14ac:dyDescent="0.35">
      <c r="A25" t="s">
        <v>136</v>
      </c>
      <c r="B25" t="s">
        <v>137</v>
      </c>
      <c r="C25" s="1">
        <f t="shared" si="0"/>
        <v>45791</v>
      </c>
      <c r="D25" t="s">
        <v>138</v>
      </c>
      <c r="E25" t="s">
        <v>139</v>
      </c>
      <c r="F25" t="str">
        <f t="shared" si="1"/>
        <v>Mary Lewis</v>
      </c>
      <c r="G25" t="str">
        <f t="shared" si="2"/>
        <v>Mary</v>
      </c>
      <c r="H25" t="str">
        <f t="shared" si="3"/>
        <v>Lewis</v>
      </c>
      <c r="I25" t="s">
        <v>18</v>
      </c>
      <c r="J25" t="str">
        <f t="shared" si="6"/>
        <v>London</v>
      </c>
      <c r="K25" t="s">
        <v>18</v>
      </c>
      <c r="L25" t="str">
        <f t="shared" si="7"/>
        <v>London</v>
      </c>
      <c r="M25" t="s">
        <v>112</v>
      </c>
      <c r="N25" t="str">
        <f t="shared" si="8"/>
        <v>Technology</v>
      </c>
      <c r="O25" t="s">
        <v>135</v>
      </c>
      <c r="P25" t="str">
        <f t="shared" si="9"/>
        <v>Monitor</v>
      </c>
      <c r="Q25" s="5">
        <v>-7</v>
      </c>
      <c r="R25">
        <v>1106.1600000000001</v>
      </c>
      <c r="S25" s="6">
        <f t="shared" si="10"/>
        <v>1106.1600000000001</v>
      </c>
      <c r="T25">
        <v>0.2</v>
      </c>
      <c r="U25" s="2">
        <f t="shared" si="11"/>
        <v>0.2</v>
      </c>
      <c r="V25">
        <v>930.95</v>
      </c>
      <c r="W25" s="2">
        <f t="shared" si="12"/>
        <v>930.95</v>
      </c>
      <c r="X25" t="s">
        <v>49</v>
      </c>
      <c r="Y25" t="str">
        <f t="shared" si="13"/>
        <v>Card</v>
      </c>
      <c r="Z25" t="s">
        <v>56</v>
      </c>
      <c r="AA25" t="str">
        <f t="shared" si="14"/>
        <v>Cancelled</v>
      </c>
      <c r="AC25" s="8"/>
      <c r="AD25" t="str">
        <f t="shared" si="4"/>
        <v>2025/05/14</v>
      </c>
      <c r="AE25" t="b">
        <f t="shared" si="5"/>
        <v>0</v>
      </c>
    </row>
    <row r="26" spans="1:31" x14ac:dyDescent="0.35">
      <c r="A26" t="s">
        <v>140</v>
      </c>
      <c r="B26" t="s">
        <v>141</v>
      </c>
      <c r="C26" s="1">
        <f t="shared" si="0"/>
        <v>45405</v>
      </c>
      <c r="D26" t="s">
        <v>142</v>
      </c>
      <c r="E26" t="s">
        <v>143</v>
      </c>
      <c r="F26" t="str">
        <f t="shared" si="1"/>
        <v>Adam Rowland</v>
      </c>
      <c r="G26" t="str">
        <f t="shared" si="2"/>
        <v>Adam</v>
      </c>
      <c r="H26" t="str">
        <f t="shared" si="3"/>
        <v>Rowland</v>
      </c>
      <c r="I26" t="s">
        <v>144</v>
      </c>
      <c r="J26" t="str">
        <f t="shared" si="6"/>
        <v>Midlands</v>
      </c>
      <c r="K26" t="s">
        <v>41</v>
      </c>
      <c r="L26" t="str">
        <f t="shared" si="7"/>
        <v>Manchester</v>
      </c>
      <c r="M26" t="s">
        <v>19</v>
      </c>
      <c r="N26" t="str">
        <f t="shared" si="8"/>
        <v>Technology</v>
      </c>
      <c r="O26" t="s">
        <v>88</v>
      </c>
      <c r="P26" t="str">
        <f t="shared" si="9"/>
        <v>Mouse</v>
      </c>
      <c r="Q26" s="5">
        <v>15</v>
      </c>
      <c r="R26">
        <v>461.26</v>
      </c>
      <c r="S26" s="6">
        <f t="shared" si="10"/>
        <v>461.26</v>
      </c>
      <c r="T26">
        <v>0</v>
      </c>
      <c r="U26" s="2">
        <f t="shared" si="11"/>
        <v>0</v>
      </c>
      <c r="V26">
        <v>229.14</v>
      </c>
      <c r="W26" s="2">
        <f t="shared" si="12"/>
        <v>229.14</v>
      </c>
      <c r="X26" t="s">
        <v>49</v>
      </c>
      <c r="Y26" t="str">
        <f t="shared" si="13"/>
        <v>Card</v>
      </c>
      <c r="Z26" t="s">
        <v>23</v>
      </c>
      <c r="AA26" t="str">
        <f t="shared" si="14"/>
        <v>Completed</v>
      </c>
      <c r="AC26" s="8">
        <f>COUNTA(_xlfn.UNIQUE(D2:D201,FALSE,FALSE))</f>
        <v>88</v>
      </c>
      <c r="AD26" t="str">
        <f t="shared" si="4"/>
        <v>23/04/2024</v>
      </c>
      <c r="AE26" t="b">
        <f t="shared" si="5"/>
        <v>0</v>
      </c>
    </row>
    <row r="27" spans="1:31" x14ac:dyDescent="0.35">
      <c r="A27" t="s">
        <v>145</v>
      </c>
      <c r="B27" t="s">
        <v>146</v>
      </c>
      <c r="C27" s="1">
        <f t="shared" si="0"/>
        <v>45639</v>
      </c>
      <c r="D27" t="s">
        <v>147</v>
      </c>
      <c r="E27" t="s">
        <v>148</v>
      </c>
      <c r="F27" t="str">
        <f t="shared" si="1"/>
        <v>Daniel Martinez</v>
      </c>
      <c r="G27" t="str">
        <f t="shared" si="2"/>
        <v>Daniel</v>
      </c>
      <c r="H27" t="str">
        <f t="shared" si="3"/>
        <v>Martinez</v>
      </c>
      <c r="I27" t="s">
        <v>61</v>
      </c>
      <c r="J27" t="str">
        <f t="shared" si="6"/>
        <v>East</v>
      </c>
      <c r="K27" t="s">
        <v>41</v>
      </c>
      <c r="L27" t="str">
        <f t="shared" si="7"/>
        <v>Manchester</v>
      </c>
      <c r="M27" t="s">
        <v>48</v>
      </c>
      <c r="N27" t="str">
        <f t="shared" si="8"/>
        <v>Technology</v>
      </c>
      <c r="O27" t="s">
        <v>88</v>
      </c>
      <c r="P27" t="str">
        <f t="shared" si="9"/>
        <v>Mouse</v>
      </c>
      <c r="Q27" s="5">
        <v>1</v>
      </c>
      <c r="R27">
        <v>1455.75</v>
      </c>
      <c r="S27" s="6">
        <f t="shared" si="10"/>
        <v>1455.75</v>
      </c>
      <c r="T27">
        <v>0.1</v>
      </c>
      <c r="U27" s="2">
        <f t="shared" si="11"/>
        <v>0.1</v>
      </c>
      <c r="V27">
        <v>962.61</v>
      </c>
      <c r="W27" s="2">
        <f t="shared" si="12"/>
        <v>962.61</v>
      </c>
      <c r="X27" t="s">
        <v>35</v>
      </c>
      <c r="Y27" t="str">
        <f t="shared" si="13"/>
        <v>Bank Transfer</v>
      </c>
      <c r="Z27" t="s">
        <v>56</v>
      </c>
      <c r="AA27" t="str">
        <f t="shared" si="14"/>
        <v>Cancelled</v>
      </c>
      <c r="AD27" t="str">
        <f t="shared" si="4"/>
        <v>12/13/2024</v>
      </c>
      <c r="AE27" t="b">
        <f t="shared" si="5"/>
        <v>1</v>
      </c>
    </row>
    <row r="28" spans="1:31" x14ac:dyDescent="0.35">
      <c r="A28" t="s">
        <v>149</v>
      </c>
      <c r="B28" t="s">
        <v>150</v>
      </c>
      <c r="C28" s="1">
        <f t="shared" si="0"/>
        <v>45351</v>
      </c>
      <c r="D28" t="s">
        <v>151</v>
      </c>
      <c r="E28" t="s">
        <v>152</v>
      </c>
      <c r="F28" t="str">
        <f t="shared" si="1"/>
        <v>Cassandra Mcknight</v>
      </c>
      <c r="G28" t="str">
        <f t="shared" si="2"/>
        <v>Cassandra</v>
      </c>
      <c r="H28" t="str">
        <f t="shared" si="3"/>
        <v>Mcknight</v>
      </c>
      <c r="I28" t="s">
        <v>83</v>
      </c>
      <c r="J28" t="str">
        <f t="shared" si="6"/>
        <v>South</v>
      </c>
      <c r="K28" t="s">
        <v>41</v>
      </c>
      <c r="L28" t="str">
        <f t="shared" si="7"/>
        <v>Manchester</v>
      </c>
      <c r="M28" t="s">
        <v>28</v>
      </c>
      <c r="N28" t="str">
        <f t="shared" si="8"/>
        <v>Office Supplies</v>
      </c>
      <c r="O28" t="s">
        <v>153</v>
      </c>
      <c r="P28" t="str">
        <f t="shared" si="9"/>
        <v>Stapler</v>
      </c>
      <c r="Q28" s="5">
        <v>-5</v>
      </c>
      <c r="R28">
        <v>656.91</v>
      </c>
      <c r="S28" s="6">
        <f t="shared" si="10"/>
        <v>656.91</v>
      </c>
      <c r="T28">
        <v>0.2</v>
      </c>
      <c r="U28" s="2">
        <f t="shared" si="11"/>
        <v>0.2</v>
      </c>
      <c r="V28">
        <v>806.9</v>
      </c>
      <c r="W28" s="2">
        <f t="shared" si="12"/>
        <v>806.9</v>
      </c>
      <c r="X28" t="s">
        <v>69</v>
      </c>
      <c r="Y28" t="str">
        <f t="shared" si="13"/>
        <v>Paypal</v>
      </c>
      <c r="Z28" t="s">
        <v>23</v>
      </c>
      <c r="AA28" t="str">
        <f t="shared" si="14"/>
        <v>Completed</v>
      </c>
      <c r="AC28" s="8" cm="1">
        <f t="array" ref="AC28">COUNTA(_xlfn._xlws.FILTER(D2:D201, D2:D201 = "No Acct"))</f>
        <v>6</v>
      </c>
      <c r="AD28" t="str">
        <f t="shared" si="4"/>
        <v>02/29/2024</v>
      </c>
      <c r="AE28" t="b">
        <f t="shared" si="5"/>
        <v>1</v>
      </c>
    </row>
    <row r="29" spans="1:31" x14ac:dyDescent="0.35">
      <c r="A29" t="s">
        <v>154</v>
      </c>
      <c r="B29" t="s">
        <v>155</v>
      </c>
      <c r="C29" s="1">
        <f t="shared" si="0"/>
        <v>45424</v>
      </c>
      <c r="D29" t="s">
        <v>156</v>
      </c>
      <c r="E29" t="s">
        <v>157</v>
      </c>
      <c r="F29" t="str">
        <f t="shared" si="1"/>
        <v>Jeremy Brown</v>
      </c>
      <c r="G29" t="str">
        <f t="shared" si="2"/>
        <v>Jeremy</v>
      </c>
      <c r="H29" t="str">
        <f t="shared" si="3"/>
        <v>Brown</v>
      </c>
      <c r="I29" t="s">
        <v>61</v>
      </c>
      <c r="J29" t="str">
        <f t="shared" si="6"/>
        <v>East</v>
      </c>
      <c r="K29" t="s">
        <v>34</v>
      </c>
      <c r="L29" t="str">
        <f t="shared" si="7"/>
        <v>Bristol</v>
      </c>
      <c r="M29" t="s">
        <v>48</v>
      </c>
      <c r="N29" t="str">
        <f t="shared" si="8"/>
        <v>Technology</v>
      </c>
      <c r="O29" t="s">
        <v>158</v>
      </c>
      <c r="P29" t="str">
        <f t="shared" si="9"/>
        <v>Keyboard</v>
      </c>
      <c r="Q29" s="5">
        <v>5</v>
      </c>
      <c r="R29">
        <v>1002</v>
      </c>
      <c r="S29" s="6">
        <f t="shared" si="10"/>
        <v>1002</v>
      </c>
      <c r="T29" t="s">
        <v>21</v>
      </c>
      <c r="U29" s="2">
        <f t="shared" si="11"/>
        <v>0.05</v>
      </c>
      <c r="V29">
        <v>697.81</v>
      </c>
      <c r="W29" s="2">
        <f t="shared" si="12"/>
        <v>697.81</v>
      </c>
      <c r="X29" t="s">
        <v>22</v>
      </c>
      <c r="Y29" t="str">
        <f t="shared" si="13"/>
        <v>Cash</v>
      </c>
      <c r="Z29" t="s">
        <v>23</v>
      </c>
      <c r="AA29" t="str">
        <f t="shared" si="14"/>
        <v>Completed</v>
      </c>
      <c r="AC29" s="8"/>
      <c r="AD29" t="str">
        <f t="shared" si="4"/>
        <v>12/05/2024</v>
      </c>
      <c r="AE29" t="b">
        <f t="shared" si="5"/>
        <v>0</v>
      </c>
    </row>
    <row r="30" spans="1:31" x14ac:dyDescent="0.35">
      <c r="A30" t="s">
        <v>159</v>
      </c>
      <c r="B30" t="s">
        <v>160</v>
      </c>
      <c r="C30" s="1">
        <f t="shared" si="0"/>
        <v>45718</v>
      </c>
      <c r="D30" t="s">
        <v>161</v>
      </c>
      <c r="E30" t="s">
        <v>162</v>
      </c>
      <c r="F30" t="str">
        <f t="shared" si="1"/>
        <v>James Byrd</v>
      </c>
      <c r="G30" t="str">
        <f t="shared" si="2"/>
        <v>James</v>
      </c>
      <c r="H30" t="str">
        <f t="shared" si="3"/>
        <v>Byrd</v>
      </c>
      <c r="I30" t="s">
        <v>93</v>
      </c>
      <c r="J30" t="str">
        <f t="shared" si="6"/>
        <v>North</v>
      </c>
      <c r="K30" t="s">
        <v>34</v>
      </c>
      <c r="L30" t="str">
        <f t="shared" si="7"/>
        <v>Bristol</v>
      </c>
      <c r="M30" t="s">
        <v>54</v>
      </c>
      <c r="N30" t="str">
        <f t="shared" si="8"/>
        <v>Furniture</v>
      </c>
      <c r="O30" t="s">
        <v>68</v>
      </c>
      <c r="P30" t="str">
        <f t="shared" si="9"/>
        <v>Cabinet</v>
      </c>
      <c r="Q30" s="5">
        <v>5</v>
      </c>
      <c r="R30">
        <v>1179.71</v>
      </c>
      <c r="S30" s="6">
        <f t="shared" si="10"/>
        <v>1179.71</v>
      </c>
      <c r="T30" t="s">
        <v>42</v>
      </c>
      <c r="U30" s="2">
        <f t="shared" si="11"/>
        <v>0.1</v>
      </c>
      <c r="V30">
        <v>323.60000000000002</v>
      </c>
      <c r="W30" s="2">
        <f t="shared" si="12"/>
        <v>323.60000000000002</v>
      </c>
      <c r="X30" t="s">
        <v>22</v>
      </c>
      <c r="Y30" t="str">
        <f t="shared" si="13"/>
        <v>Cash</v>
      </c>
      <c r="Z30" t="s">
        <v>23</v>
      </c>
      <c r="AA30" t="str">
        <f t="shared" si="14"/>
        <v>Completed</v>
      </c>
      <c r="AC30" s="8"/>
      <c r="AD30" t="str">
        <f t="shared" si="4"/>
        <v>02/03/2025</v>
      </c>
      <c r="AE30" t="b">
        <f t="shared" si="5"/>
        <v>0</v>
      </c>
    </row>
    <row r="31" spans="1:31" x14ac:dyDescent="0.35">
      <c r="A31" t="s">
        <v>163</v>
      </c>
      <c r="B31" t="s">
        <v>164</v>
      </c>
      <c r="C31" s="1">
        <f t="shared" si="0"/>
        <v>45339</v>
      </c>
      <c r="D31" t="s">
        <v>165</v>
      </c>
      <c r="E31" t="s">
        <v>166</v>
      </c>
      <c r="F31" t="str">
        <f t="shared" si="1"/>
        <v>Aaron Jones</v>
      </c>
      <c r="G31" t="str">
        <f t="shared" si="2"/>
        <v>Aaron</v>
      </c>
      <c r="H31" t="str">
        <f t="shared" si="3"/>
        <v>Jones</v>
      </c>
      <c r="I31" t="s">
        <v>17</v>
      </c>
      <c r="J31" t="str">
        <f t="shared" si="6"/>
        <v>West</v>
      </c>
      <c r="K31" t="s">
        <v>94</v>
      </c>
      <c r="L31" t="str">
        <f t="shared" si="7"/>
        <v>Birmingham</v>
      </c>
      <c r="M31" t="s">
        <v>48</v>
      </c>
      <c r="N31" t="str">
        <f t="shared" si="8"/>
        <v>Technology</v>
      </c>
      <c r="O31" t="s">
        <v>158</v>
      </c>
      <c r="P31" t="str">
        <f t="shared" si="9"/>
        <v>Keyboard</v>
      </c>
      <c r="Q31" s="5">
        <v>11</v>
      </c>
      <c r="R31">
        <v>1210.81</v>
      </c>
      <c r="S31" s="6">
        <f t="shared" si="10"/>
        <v>1210.81</v>
      </c>
      <c r="T31" t="s">
        <v>42</v>
      </c>
      <c r="U31" s="2">
        <f t="shared" si="11"/>
        <v>0.1</v>
      </c>
      <c r="V31">
        <v>48.12</v>
      </c>
      <c r="W31" s="2">
        <f t="shared" si="12"/>
        <v>48.12</v>
      </c>
      <c r="X31" t="s">
        <v>69</v>
      </c>
      <c r="Y31" t="str">
        <f t="shared" si="13"/>
        <v>Paypal</v>
      </c>
      <c r="Z31" t="s">
        <v>23</v>
      </c>
      <c r="AA31" t="str">
        <f t="shared" si="14"/>
        <v>Completed</v>
      </c>
      <c r="AC31" s="8"/>
      <c r="AD31" t="str">
        <f t="shared" si="4"/>
        <v>02/17/2024</v>
      </c>
      <c r="AE31" t="b">
        <f t="shared" si="5"/>
        <v>1</v>
      </c>
    </row>
    <row r="32" spans="1:31" x14ac:dyDescent="0.35">
      <c r="A32" t="s">
        <v>167</v>
      </c>
      <c r="B32" t="s">
        <v>168</v>
      </c>
      <c r="C32" s="1">
        <f t="shared" si="0"/>
        <v>45496</v>
      </c>
      <c r="D32" t="s">
        <v>45</v>
      </c>
      <c r="E32" t="s">
        <v>169</v>
      </c>
      <c r="F32" t="str">
        <f t="shared" si="1"/>
        <v>Martin Johnson</v>
      </c>
      <c r="G32" t="str">
        <f t="shared" si="2"/>
        <v>Martin</v>
      </c>
      <c r="H32" t="str">
        <f t="shared" si="3"/>
        <v>Johnson</v>
      </c>
      <c r="I32" t="s">
        <v>93</v>
      </c>
      <c r="J32" t="str">
        <f t="shared" si="6"/>
        <v>North</v>
      </c>
      <c r="K32" t="s">
        <v>103</v>
      </c>
      <c r="L32" t="str">
        <f t="shared" si="7"/>
        <v>Norwich</v>
      </c>
      <c r="M32" t="s">
        <v>54</v>
      </c>
      <c r="N32" t="str">
        <f t="shared" si="8"/>
        <v>Furniture</v>
      </c>
      <c r="O32" t="s">
        <v>55</v>
      </c>
      <c r="P32" t="str">
        <f t="shared" si="9"/>
        <v>Chair</v>
      </c>
      <c r="Q32" s="5">
        <v>11</v>
      </c>
      <c r="R32">
        <v>1339.53</v>
      </c>
      <c r="S32" s="6">
        <f t="shared" si="10"/>
        <v>1339.53</v>
      </c>
      <c r="T32" t="s">
        <v>42</v>
      </c>
      <c r="U32" s="2">
        <f t="shared" si="11"/>
        <v>0.1</v>
      </c>
      <c r="V32">
        <v>885.69</v>
      </c>
      <c r="W32" s="2">
        <f t="shared" si="12"/>
        <v>885.69</v>
      </c>
      <c r="X32" t="s">
        <v>22</v>
      </c>
      <c r="Y32" t="str">
        <f t="shared" si="13"/>
        <v>Cash</v>
      </c>
      <c r="Z32" t="s">
        <v>23</v>
      </c>
      <c r="AA32" t="str">
        <f t="shared" si="14"/>
        <v>Completed</v>
      </c>
      <c r="AC32" s="8"/>
      <c r="AD32" t="str">
        <f t="shared" si="4"/>
        <v>23/07/2024</v>
      </c>
      <c r="AE32" t="b">
        <f t="shared" si="5"/>
        <v>0</v>
      </c>
    </row>
    <row r="33" spans="1:31" x14ac:dyDescent="0.35">
      <c r="A33" t="s">
        <v>170</v>
      </c>
      <c r="B33" t="s">
        <v>171</v>
      </c>
      <c r="C33" s="1">
        <f t="shared" si="0"/>
        <v>45702</v>
      </c>
      <c r="D33" t="s">
        <v>72</v>
      </c>
      <c r="E33" t="s">
        <v>172</v>
      </c>
      <c r="F33" t="str">
        <f t="shared" si="1"/>
        <v>Dorothy English</v>
      </c>
      <c r="G33" t="str">
        <f t="shared" si="2"/>
        <v>Dorothy</v>
      </c>
      <c r="H33" t="str">
        <f t="shared" si="3"/>
        <v>English</v>
      </c>
      <c r="I33" t="s">
        <v>93</v>
      </c>
      <c r="J33" t="str">
        <f t="shared" si="6"/>
        <v>North</v>
      </c>
      <c r="K33" t="s">
        <v>18</v>
      </c>
      <c r="L33" t="str">
        <f t="shared" si="7"/>
        <v>London</v>
      </c>
      <c r="M33" t="s">
        <v>54</v>
      </c>
      <c r="N33" t="str">
        <f t="shared" si="8"/>
        <v>Furniture</v>
      </c>
      <c r="O33" t="s">
        <v>74</v>
      </c>
      <c r="P33" t="str">
        <f t="shared" si="9"/>
        <v>Desk</v>
      </c>
      <c r="Q33" s="5">
        <v>9</v>
      </c>
      <c r="R33">
        <v>1425.31</v>
      </c>
      <c r="S33" s="6">
        <f t="shared" si="10"/>
        <v>1425.31</v>
      </c>
      <c r="T33">
        <v>0.2</v>
      </c>
      <c r="U33" s="2">
        <f t="shared" si="11"/>
        <v>0.2</v>
      </c>
      <c r="V33">
        <v>613.42999999999995</v>
      </c>
      <c r="W33" s="2">
        <f t="shared" si="12"/>
        <v>613.42999999999995</v>
      </c>
      <c r="X33" t="s">
        <v>69</v>
      </c>
      <c r="Y33" t="str">
        <f t="shared" si="13"/>
        <v>Paypal</v>
      </c>
      <c r="Z33" t="s">
        <v>56</v>
      </c>
      <c r="AA33" t="str">
        <f t="shared" si="14"/>
        <v>Cancelled</v>
      </c>
      <c r="AC33" s="8"/>
      <c r="AD33" t="str">
        <f t="shared" si="4"/>
        <v>02/14/2025</v>
      </c>
      <c r="AE33" t="b">
        <f t="shared" si="5"/>
        <v>1</v>
      </c>
    </row>
    <row r="34" spans="1:31" x14ac:dyDescent="0.35">
      <c r="A34" t="s">
        <v>173</v>
      </c>
      <c r="B34" t="s">
        <v>174</v>
      </c>
      <c r="C34" s="1">
        <f t="shared" ref="C34:C65" si="15" xml:space="preserve"> IF( MID(AD34,5,1) = "/", DATE( LEFT(AD34,4), MID(AD34,6,2), RIGHT(AD34,2)),  IF(VALUE(MID(AD34,FIND("/",AD34)+1,2)) &gt; 12, DATE(RIGHT(AD34,4), LEFT(AD34,2),MID(AD34,4,2) ),DATE( RIGHT(AD34,4), MID(AD34,4,2), LEFT(AD34,2))) )</f>
        <v>45811</v>
      </c>
      <c r="D34" t="s">
        <v>175</v>
      </c>
      <c r="E34" t="s">
        <v>176</v>
      </c>
      <c r="F34" t="str">
        <f t="shared" ref="F34:F65" si="16">TRIM(SUBSTITUTE(SUBSTITUTE(SUBSTITUTE(SUBSTITUTE(SUBSTITUTE(SUBSTITUTE(SUBSTITUTE(SUBSTITUTE(E34,"Dr. ","")," MD","")," PhD","")," DDS","")," DVM",""),"Mr. ",""),"Miss ",""),"Md",""))</f>
        <v>Judy Mendoza</v>
      </c>
      <c r="G34" t="str">
        <f t="shared" ref="G34:G65" si="17">TRIM(PROPER(_xlfn.TEXTBEFORE(F34," ",1)))</f>
        <v>Judy</v>
      </c>
      <c r="H34" t="str">
        <f t="shared" ref="H34:H65" si="18">PROPER(TRIM(_xlfn.TEXTAFTER(F34," ",-1)))</f>
        <v>Mendoza</v>
      </c>
      <c r="I34" t="s">
        <v>17</v>
      </c>
      <c r="J34" t="str">
        <f t="shared" si="6"/>
        <v>West</v>
      </c>
      <c r="K34" t="s">
        <v>18</v>
      </c>
      <c r="L34" t="str">
        <f t="shared" si="7"/>
        <v>London</v>
      </c>
      <c r="M34" t="s">
        <v>48</v>
      </c>
      <c r="N34" t="str">
        <f t="shared" si="8"/>
        <v>Technology</v>
      </c>
      <c r="O34" t="s">
        <v>135</v>
      </c>
      <c r="P34" t="str">
        <f t="shared" si="9"/>
        <v>Monitor</v>
      </c>
      <c r="Q34" s="5">
        <v>9</v>
      </c>
      <c r="R34">
        <v>362.67</v>
      </c>
      <c r="S34" s="6">
        <f t="shared" si="10"/>
        <v>362.67</v>
      </c>
      <c r="T34">
        <v>0.05</v>
      </c>
      <c r="U34" s="2">
        <f t="shared" si="11"/>
        <v>0.05</v>
      </c>
      <c r="V34">
        <v>714.12</v>
      </c>
      <c r="W34" s="2">
        <f t="shared" si="12"/>
        <v>714.12</v>
      </c>
      <c r="X34" t="s">
        <v>22</v>
      </c>
      <c r="Y34" t="str">
        <f t="shared" si="13"/>
        <v>Cash</v>
      </c>
      <c r="Z34" t="s">
        <v>23</v>
      </c>
      <c r="AA34" t="str">
        <f t="shared" si="14"/>
        <v>Completed</v>
      </c>
      <c r="AC34" s="8"/>
      <c r="AD34" t="str">
        <f t="shared" ref="AD34:AD65" si="19">SUBSTITUTE(B34,"-","/")</f>
        <v>03/06/2025</v>
      </c>
      <c r="AE34" t="b">
        <f t="shared" ref="AE34:AE65" si="20">VALUE(MID(AD34,FIND("/",AD34)+1,2)) &gt; 12</f>
        <v>0</v>
      </c>
    </row>
    <row r="35" spans="1:31" x14ac:dyDescent="0.35">
      <c r="A35" t="s">
        <v>177</v>
      </c>
      <c r="B35" t="s">
        <v>178</v>
      </c>
      <c r="C35" s="1">
        <f t="shared" si="15"/>
        <v>45370</v>
      </c>
      <c r="D35" t="s">
        <v>66</v>
      </c>
      <c r="E35" t="s">
        <v>179</v>
      </c>
      <c r="F35" t="str">
        <f t="shared" si="16"/>
        <v>Mark Jordan</v>
      </c>
      <c r="G35" t="str">
        <f t="shared" si="17"/>
        <v>Mark</v>
      </c>
      <c r="H35" t="str">
        <f t="shared" si="18"/>
        <v>Jordan</v>
      </c>
      <c r="I35" t="s">
        <v>47</v>
      </c>
      <c r="J35" t="str">
        <f t="shared" si="6"/>
        <v>East</v>
      </c>
      <c r="K35" t="s">
        <v>62</v>
      </c>
      <c r="L35" t="str">
        <f t="shared" si="7"/>
        <v>Leeds</v>
      </c>
      <c r="M35" t="s">
        <v>54</v>
      </c>
      <c r="N35" t="str">
        <f t="shared" si="8"/>
        <v>Furniture</v>
      </c>
      <c r="O35" t="s">
        <v>68</v>
      </c>
      <c r="P35" t="str">
        <f t="shared" si="9"/>
        <v>Cabinet</v>
      </c>
      <c r="Q35" s="5">
        <v>7</v>
      </c>
      <c r="R35">
        <v>701.56</v>
      </c>
      <c r="S35" s="6">
        <f t="shared" si="10"/>
        <v>701.56</v>
      </c>
      <c r="T35" t="s">
        <v>42</v>
      </c>
      <c r="U35" s="2">
        <f t="shared" si="11"/>
        <v>0.1</v>
      </c>
      <c r="V35">
        <v>833.23</v>
      </c>
      <c r="W35" s="2">
        <f t="shared" si="12"/>
        <v>833.23</v>
      </c>
      <c r="X35" t="s">
        <v>69</v>
      </c>
      <c r="Y35" t="str">
        <f t="shared" si="13"/>
        <v>Paypal</v>
      </c>
      <c r="Z35" t="s">
        <v>56</v>
      </c>
      <c r="AA35" t="str">
        <f t="shared" si="14"/>
        <v>Cancelled</v>
      </c>
      <c r="AC35" s="8"/>
      <c r="AD35" t="str">
        <f t="shared" si="19"/>
        <v>2024/03/19</v>
      </c>
      <c r="AE35" t="b">
        <f t="shared" si="20"/>
        <v>0</v>
      </c>
    </row>
    <row r="36" spans="1:31" x14ac:dyDescent="0.35">
      <c r="A36" t="s">
        <v>180</v>
      </c>
      <c r="B36" t="s">
        <v>181</v>
      </c>
      <c r="C36" s="1">
        <f t="shared" si="15"/>
        <v>45297</v>
      </c>
      <c r="D36" t="s">
        <v>182</v>
      </c>
      <c r="E36" t="s">
        <v>183</v>
      </c>
      <c r="F36" t="str">
        <f t="shared" si="16"/>
        <v>Jonathan Turner</v>
      </c>
      <c r="G36" t="str">
        <f t="shared" si="17"/>
        <v>Jonathan</v>
      </c>
      <c r="H36" t="str">
        <f t="shared" si="18"/>
        <v>Turner</v>
      </c>
      <c r="I36" t="s">
        <v>61</v>
      </c>
      <c r="J36" t="str">
        <f t="shared" si="6"/>
        <v>East</v>
      </c>
      <c r="K36" t="s">
        <v>94</v>
      </c>
      <c r="L36" t="str">
        <f t="shared" si="7"/>
        <v>Birmingham</v>
      </c>
      <c r="M36" t="s">
        <v>19</v>
      </c>
      <c r="N36" t="str">
        <f t="shared" si="8"/>
        <v>Technology</v>
      </c>
      <c r="O36" t="s">
        <v>158</v>
      </c>
      <c r="P36" t="str">
        <f t="shared" si="9"/>
        <v>Keyboard</v>
      </c>
      <c r="Q36" s="5">
        <v>14</v>
      </c>
      <c r="R36">
        <v>1122.54</v>
      </c>
      <c r="S36" s="6">
        <f t="shared" si="10"/>
        <v>1122.54</v>
      </c>
      <c r="T36">
        <v>0.05</v>
      </c>
      <c r="U36" s="2">
        <f t="shared" si="11"/>
        <v>0.05</v>
      </c>
      <c r="V36">
        <v>604.04999999999995</v>
      </c>
      <c r="W36" s="2">
        <f t="shared" si="12"/>
        <v>604.04999999999995</v>
      </c>
      <c r="X36" t="s">
        <v>49</v>
      </c>
      <c r="Y36" t="str">
        <f t="shared" si="13"/>
        <v>Card</v>
      </c>
      <c r="Z36" t="s">
        <v>56</v>
      </c>
      <c r="AA36" t="str">
        <f t="shared" si="14"/>
        <v>Cancelled</v>
      </c>
      <c r="AC36" s="8"/>
      <c r="AD36" t="str">
        <f t="shared" si="19"/>
        <v>06/01/2024</v>
      </c>
      <c r="AE36" t="b">
        <f t="shared" si="20"/>
        <v>0</v>
      </c>
    </row>
    <row r="37" spans="1:31" x14ac:dyDescent="0.35">
      <c r="A37" t="s">
        <v>184</v>
      </c>
      <c r="B37" t="s">
        <v>185</v>
      </c>
      <c r="C37" s="1">
        <f t="shared" si="15"/>
        <v>45662</v>
      </c>
      <c r="D37" t="s">
        <v>77</v>
      </c>
      <c r="E37" t="s">
        <v>186</v>
      </c>
      <c r="F37" t="str">
        <f t="shared" si="16"/>
        <v>Oscar Meyers</v>
      </c>
      <c r="G37" t="str">
        <f t="shared" si="17"/>
        <v>Oscar</v>
      </c>
      <c r="H37" t="str">
        <f t="shared" si="18"/>
        <v>Meyers</v>
      </c>
      <c r="I37" t="s">
        <v>17</v>
      </c>
      <c r="J37" t="str">
        <f t="shared" si="6"/>
        <v>West</v>
      </c>
      <c r="K37" t="s">
        <v>34</v>
      </c>
      <c r="L37" t="str">
        <f t="shared" si="7"/>
        <v>Bristol</v>
      </c>
      <c r="M37" t="s">
        <v>48</v>
      </c>
      <c r="N37" t="str">
        <f t="shared" si="8"/>
        <v>Technology</v>
      </c>
      <c r="O37" t="s">
        <v>88</v>
      </c>
      <c r="P37" t="str">
        <f t="shared" si="9"/>
        <v>Mouse</v>
      </c>
      <c r="Q37" s="5">
        <v>8</v>
      </c>
      <c r="R37">
        <v>1471.18</v>
      </c>
      <c r="S37" s="6">
        <f t="shared" si="10"/>
        <v>1471.18</v>
      </c>
      <c r="T37" t="s">
        <v>21</v>
      </c>
      <c r="U37" s="2">
        <f t="shared" si="11"/>
        <v>0.05</v>
      </c>
      <c r="V37">
        <v>907.12</v>
      </c>
      <c r="W37" s="2">
        <f t="shared" si="12"/>
        <v>907.12</v>
      </c>
      <c r="X37" t="s">
        <v>69</v>
      </c>
      <c r="Y37" t="str">
        <f t="shared" si="13"/>
        <v>Paypal</v>
      </c>
      <c r="Z37" t="s">
        <v>23</v>
      </c>
      <c r="AA37" t="str">
        <f t="shared" si="14"/>
        <v>Completed</v>
      </c>
      <c r="AC37" s="8"/>
      <c r="AD37" t="str">
        <f t="shared" si="19"/>
        <v>05/01/2025</v>
      </c>
      <c r="AE37" t="b">
        <f t="shared" si="20"/>
        <v>0</v>
      </c>
    </row>
    <row r="38" spans="1:31" x14ac:dyDescent="0.35">
      <c r="A38" t="s">
        <v>187</v>
      </c>
      <c r="B38" t="s">
        <v>188</v>
      </c>
      <c r="C38" s="1">
        <f t="shared" si="15"/>
        <v>45317</v>
      </c>
      <c r="D38" t="s">
        <v>189</v>
      </c>
      <c r="E38" t="s">
        <v>190</v>
      </c>
      <c r="F38" t="str">
        <f t="shared" si="16"/>
        <v>Jesse Collins</v>
      </c>
      <c r="G38" t="str">
        <f t="shared" si="17"/>
        <v>Jesse</v>
      </c>
      <c r="H38" t="str">
        <f t="shared" si="18"/>
        <v>Collins</v>
      </c>
      <c r="I38" t="s">
        <v>93</v>
      </c>
      <c r="J38" t="str">
        <f t="shared" si="6"/>
        <v>North</v>
      </c>
      <c r="K38" t="s">
        <v>103</v>
      </c>
      <c r="L38" t="str">
        <f t="shared" si="7"/>
        <v>Norwich</v>
      </c>
      <c r="M38" t="s">
        <v>54</v>
      </c>
      <c r="N38" t="str">
        <f t="shared" si="8"/>
        <v>Furniture</v>
      </c>
      <c r="O38" t="s">
        <v>74</v>
      </c>
      <c r="P38" t="str">
        <f t="shared" si="9"/>
        <v>Desk</v>
      </c>
      <c r="Q38" s="5">
        <v>6</v>
      </c>
      <c r="R38">
        <v>493.63</v>
      </c>
      <c r="S38" s="6">
        <f t="shared" si="10"/>
        <v>493.63</v>
      </c>
      <c r="T38" t="s">
        <v>42</v>
      </c>
      <c r="U38" s="2">
        <f t="shared" si="11"/>
        <v>0.1</v>
      </c>
      <c r="V38">
        <v>380.37</v>
      </c>
      <c r="W38" s="2">
        <f t="shared" si="12"/>
        <v>380.37</v>
      </c>
      <c r="X38" t="s">
        <v>49</v>
      </c>
      <c r="Y38" t="str">
        <f t="shared" si="13"/>
        <v>Card</v>
      </c>
      <c r="Z38" t="s">
        <v>23</v>
      </c>
      <c r="AA38" t="str">
        <f t="shared" si="14"/>
        <v>Completed</v>
      </c>
      <c r="AC38" s="8"/>
      <c r="AD38" t="str">
        <f t="shared" si="19"/>
        <v>26/01/2024</v>
      </c>
      <c r="AE38" t="b">
        <f t="shared" si="20"/>
        <v>0</v>
      </c>
    </row>
    <row r="39" spans="1:31" x14ac:dyDescent="0.35">
      <c r="A39" t="s">
        <v>191</v>
      </c>
      <c r="B39" t="s">
        <v>192</v>
      </c>
      <c r="C39" s="1">
        <f t="shared" si="15"/>
        <v>45691</v>
      </c>
      <c r="D39" t="s">
        <v>91</v>
      </c>
      <c r="E39" t="s">
        <v>193</v>
      </c>
      <c r="F39" t="str">
        <f t="shared" si="16"/>
        <v>Anthony Sanchez</v>
      </c>
      <c r="G39" t="str">
        <f t="shared" si="17"/>
        <v>Anthony</v>
      </c>
      <c r="H39" t="str">
        <f t="shared" si="18"/>
        <v>Sanchez</v>
      </c>
      <c r="I39" t="s">
        <v>83</v>
      </c>
      <c r="J39" t="str">
        <f t="shared" si="6"/>
        <v>South</v>
      </c>
      <c r="K39" t="s">
        <v>94</v>
      </c>
      <c r="L39" t="str">
        <f t="shared" si="7"/>
        <v>Birmingham</v>
      </c>
      <c r="M39" t="s">
        <v>112</v>
      </c>
      <c r="N39" t="str">
        <f t="shared" si="8"/>
        <v>Technology</v>
      </c>
      <c r="O39" t="s">
        <v>20</v>
      </c>
      <c r="P39" t="str">
        <f t="shared" si="9"/>
        <v>Laptop</v>
      </c>
      <c r="Q39" s="5">
        <v>1</v>
      </c>
      <c r="S39" s="6">
        <f t="shared" si="10"/>
        <v>0</v>
      </c>
      <c r="T39">
        <v>0.05</v>
      </c>
      <c r="U39" s="2">
        <f t="shared" si="11"/>
        <v>0.05</v>
      </c>
      <c r="V39">
        <v>154.08000000000001</v>
      </c>
      <c r="W39" s="2">
        <f t="shared" si="12"/>
        <v>154.08000000000001</v>
      </c>
      <c r="X39" t="s">
        <v>35</v>
      </c>
      <c r="Y39" t="str">
        <f t="shared" si="13"/>
        <v>Bank Transfer</v>
      </c>
      <c r="Z39" t="s">
        <v>23</v>
      </c>
      <c r="AA39" t="str">
        <f t="shared" si="14"/>
        <v>Completed</v>
      </c>
      <c r="AC39" s="8"/>
      <c r="AD39" t="str">
        <f t="shared" si="19"/>
        <v>2025/02/03</v>
      </c>
      <c r="AE39" t="b">
        <f t="shared" si="20"/>
        <v>0</v>
      </c>
    </row>
    <row r="40" spans="1:31" x14ac:dyDescent="0.35">
      <c r="A40" t="s">
        <v>194</v>
      </c>
      <c r="B40" t="s">
        <v>195</v>
      </c>
      <c r="C40" s="1">
        <f t="shared" si="15"/>
        <v>45690</v>
      </c>
      <c r="D40" t="s">
        <v>196</v>
      </c>
      <c r="E40" t="s">
        <v>197</v>
      </c>
      <c r="F40" t="str">
        <f t="shared" si="16"/>
        <v>Elizabeth Wolfe</v>
      </c>
      <c r="G40" t="str">
        <f t="shared" si="17"/>
        <v>Elizabeth</v>
      </c>
      <c r="H40" t="str">
        <f t="shared" si="18"/>
        <v>Wolfe</v>
      </c>
      <c r="I40" t="s">
        <v>83</v>
      </c>
      <c r="J40" t="str">
        <f t="shared" si="6"/>
        <v>South</v>
      </c>
      <c r="K40" t="s">
        <v>103</v>
      </c>
      <c r="L40" t="str">
        <f t="shared" si="7"/>
        <v>Norwich</v>
      </c>
      <c r="M40" t="s">
        <v>112</v>
      </c>
      <c r="N40" t="str">
        <f t="shared" si="8"/>
        <v>Technology</v>
      </c>
      <c r="O40" t="s">
        <v>20</v>
      </c>
      <c r="P40" t="str">
        <f t="shared" si="9"/>
        <v>Laptop</v>
      </c>
      <c r="Q40" s="5">
        <v>2</v>
      </c>
      <c r="R40">
        <v>1393.69</v>
      </c>
      <c r="S40" s="6">
        <f t="shared" si="10"/>
        <v>1393.69</v>
      </c>
      <c r="T40" t="s">
        <v>42</v>
      </c>
      <c r="U40" s="2">
        <f t="shared" si="11"/>
        <v>0.1</v>
      </c>
      <c r="V40">
        <v>908.21</v>
      </c>
      <c r="W40" s="2">
        <f t="shared" si="12"/>
        <v>908.21</v>
      </c>
      <c r="X40" t="s">
        <v>22</v>
      </c>
      <c r="Y40" t="str">
        <f t="shared" si="13"/>
        <v>Cash</v>
      </c>
      <c r="Z40" t="s">
        <v>23</v>
      </c>
      <c r="AA40" t="str">
        <f t="shared" si="14"/>
        <v>Completed</v>
      </c>
      <c r="AC40" s="8"/>
      <c r="AD40" t="str">
        <f t="shared" si="19"/>
        <v>02/02/2025</v>
      </c>
      <c r="AE40" t="b">
        <f t="shared" si="20"/>
        <v>0</v>
      </c>
    </row>
    <row r="41" spans="1:31" x14ac:dyDescent="0.35">
      <c r="A41" t="s">
        <v>198</v>
      </c>
      <c r="B41" t="s">
        <v>199</v>
      </c>
      <c r="C41" s="1">
        <f t="shared" si="15"/>
        <v>45963</v>
      </c>
      <c r="D41" t="s">
        <v>200</v>
      </c>
      <c r="E41" t="s">
        <v>201</v>
      </c>
      <c r="F41" t="str">
        <f t="shared" si="16"/>
        <v>Tammy Tucker</v>
      </c>
      <c r="G41" t="str">
        <f t="shared" si="17"/>
        <v>Tammy</v>
      </c>
      <c r="H41" t="str">
        <f t="shared" si="18"/>
        <v>Tucker</v>
      </c>
      <c r="I41" t="s">
        <v>17</v>
      </c>
      <c r="J41" t="str">
        <f t="shared" si="6"/>
        <v>West</v>
      </c>
      <c r="K41" t="s">
        <v>94</v>
      </c>
      <c r="L41" t="str">
        <f t="shared" si="7"/>
        <v>Birmingham</v>
      </c>
      <c r="M41" t="s">
        <v>48</v>
      </c>
      <c r="N41" t="str">
        <f t="shared" si="8"/>
        <v>Technology</v>
      </c>
      <c r="O41" t="s">
        <v>20</v>
      </c>
      <c r="P41" t="str">
        <f t="shared" si="9"/>
        <v>Laptop</v>
      </c>
      <c r="Q41" s="5">
        <v>6</v>
      </c>
      <c r="R41">
        <v>993.97</v>
      </c>
      <c r="S41" s="6">
        <f t="shared" si="10"/>
        <v>993.97</v>
      </c>
      <c r="T41">
        <v>0</v>
      </c>
      <c r="U41" s="2">
        <f t="shared" si="11"/>
        <v>0</v>
      </c>
      <c r="V41">
        <v>648.25</v>
      </c>
      <c r="W41" s="2">
        <f t="shared" si="12"/>
        <v>648.25</v>
      </c>
      <c r="X41" t="s">
        <v>35</v>
      </c>
      <c r="Y41" t="str">
        <f t="shared" si="13"/>
        <v>Bank Transfer</v>
      </c>
      <c r="Z41" t="s">
        <v>56</v>
      </c>
      <c r="AA41" t="str">
        <f t="shared" si="14"/>
        <v>Cancelled</v>
      </c>
      <c r="AC41" s="8"/>
      <c r="AD41" t="str">
        <f t="shared" si="19"/>
        <v>02/11/2025</v>
      </c>
      <c r="AE41" t="b">
        <f t="shared" si="20"/>
        <v>0</v>
      </c>
    </row>
    <row r="42" spans="1:31" x14ac:dyDescent="0.35">
      <c r="A42" t="s">
        <v>202</v>
      </c>
      <c r="B42" t="s">
        <v>203</v>
      </c>
      <c r="C42" s="1">
        <f t="shared" si="15"/>
        <v>45382</v>
      </c>
      <c r="D42" t="s">
        <v>204</v>
      </c>
      <c r="E42" t="s">
        <v>205</v>
      </c>
      <c r="F42" t="str">
        <f t="shared" si="16"/>
        <v>Michelle Woodard</v>
      </c>
      <c r="G42" t="str">
        <f t="shared" si="17"/>
        <v>Michelle</v>
      </c>
      <c r="H42" t="str">
        <f t="shared" si="18"/>
        <v>Woodard</v>
      </c>
      <c r="I42" t="s">
        <v>83</v>
      </c>
      <c r="J42" t="str">
        <f t="shared" si="6"/>
        <v>South</v>
      </c>
      <c r="K42" t="s">
        <v>103</v>
      </c>
      <c r="L42" t="str">
        <f t="shared" si="7"/>
        <v>Norwich</v>
      </c>
      <c r="M42" t="s">
        <v>112</v>
      </c>
      <c r="N42" t="str">
        <f t="shared" si="8"/>
        <v>Technology</v>
      </c>
      <c r="O42" t="s">
        <v>88</v>
      </c>
      <c r="P42" t="str">
        <f t="shared" si="9"/>
        <v>Mouse</v>
      </c>
      <c r="Q42" s="5">
        <v>5</v>
      </c>
      <c r="R42">
        <v>1379.83</v>
      </c>
      <c r="S42" s="6">
        <f t="shared" si="10"/>
        <v>1379.83</v>
      </c>
      <c r="T42">
        <v>0.2</v>
      </c>
      <c r="U42" s="2">
        <f t="shared" si="11"/>
        <v>0.2</v>
      </c>
      <c r="V42">
        <v>465.94</v>
      </c>
      <c r="W42" s="2">
        <f t="shared" si="12"/>
        <v>465.94</v>
      </c>
      <c r="X42" t="s">
        <v>35</v>
      </c>
      <c r="Y42" t="str">
        <f t="shared" si="13"/>
        <v>Bank Transfer</v>
      </c>
      <c r="Z42" t="s">
        <v>56</v>
      </c>
      <c r="AA42" t="str">
        <f t="shared" si="14"/>
        <v>Cancelled</v>
      </c>
      <c r="AC42" s="8"/>
      <c r="AD42" t="str">
        <f t="shared" si="19"/>
        <v>03/31/2024</v>
      </c>
      <c r="AE42" t="b">
        <f t="shared" si="20"/>
        <v>1</v>
      </c>
    </row>
    <row r="43" spans="1:31" x14ac:dyDescent="0.35">
      <c r="A43" t="s">
        <v>206</v>
      </c>
      <c r="B43" t="s">
        <v>207</v>
      </c>
      <c r="C43" s="1">
        <f t="shared" si="15"/>
        <v>45583</v>
      </c>
      <c r="D43" t="s">
        <v>97</v>
      </c>
      <c r="E43" t="s">
        <v>208</v>
      </c>
      <c r="F43" t="str">
        <f t="shared" si="16"/>
        <v>Michele Mullins</v>
      </c>
      <c r="G43" t="str">
        <f t="shared" si="17"/>
        <v>Michele</v>
      </c>
      <c r="H43" t="str">
        <f t="shared" si="18"/>
        <v>Mullins</v>
      </c>
      <c r="I43" t="s">
        <v>18</v>
      </c>
      <c r="J43" t="str">
        <f t="shared" si="6"/>
        <v>London</v>
      </c>
      <c r="K43" t="s">
        <v>62</v>
      </c>
      <c r="L43" t="str">
        <f t="shared" si="7"/>
        <v>Leeds</v>
      </c>
      <c r="M43" t="s">
        <v>112</v>
      </c>
      <c r="N43" t="str">
        <f t="shared" si="8"/>
        <v>Technology</v>
      </c>
      <c r="O43" t="s">
        <v>88</v>
      </c>
      <c r="P43" t="str">
        <f t="shared" si="9"/>
        <v>Mouse</v>
      </c>
      <c r="Q43" s="5">
        <v>1</v>
      </c>
      <c r="R43">
        <v>490.9</v>
      </c>
      <c r="S43" s="6">
        <f t="shared" si="10"/>
        <v>490.9</v>
      </c>
      <c r="T43">
        <v>0.1</v>
      </c>
      <c r="U43" s="2">
        <f t="shared" si="11"/>
        <v>0.1</v>
      </c>
      <c r="V43">
        <v>356.12</v>
      </c>
      <c r="W43" s="2">
        <f t="shared" si="12"/>
        <v>356.12</v>
      </c>
      <c r="X43" t="s">
        <v>49</v>
      </c>
      <c r="Y43" t="str">
        <f t="shared" si="13"/>
        <v>Card</v>
      </c>
      <c r="Z43" t="s">
        <v>23</v>
      </c>
      <c r="AA43" t="str">
        <f t="shared" si="14"/>
        <v>Completed</v>
      </c>
      <c r="AC43" s="8"/>
      <c r="AD43" t="str">
        <f t="shared" si="19"/>
        <v>2024/10/18</v>
      </c>
      <c r="AE43" t="b">
        <f t="shared" si="20"/>
        <v>0</v>
      </c>
    </row>
    <row r="44" spans="1:31" x14ac:dyDescent="0.35">
      <c r="A44" t="s">
        <v>209</v>
      </c>
      <c r="B44" t="s">
        <v>210</v>
      </c>
      <c r="C44" s="1">
        <f t="shared" si="15"/>
        <v>45717</v>
      </c>
      <c r="D44" t="s">
        <v>211</v>
      </c>
      <c r="E44" t="s">
        <v>212</v>
      </c>
      <c r="F44" t="str">
        <f t="shared" si="16"/>
        <v>Chase Murray</v>
      </c>
      <c r="G44" t="str">
        <f t="shared" si="17"/>
        <v>Chase</v>
      </c>
      <c r="H44" t="str">
        <f t="shared" si="18"/>
        <v>Murray</v>
      </c>
      <c r="I44" t="s">
        <v>83</v>
      </c>
      <c r="J44" t="str">
        <f t="shared" si="6"/>
        <v>South</v>
      </c>
      <c r="K44" t="s">
        <v>41</v>
      </c>
      <c r="L44" t="str">
        <f t="shared" si="7"/>
        <v>Manchester</v>
      </c>
      <c r="M44" t="s">
        <v>19</v>
      </c>
      <c r="N44" t="str">
        <f t="shared" si="8"/>
        <v>Technology</v>
      </c>
      <c r="O44" t="s">
        <v>135</v>
      </c>
      <c r="P44" t="str">
        <f t="shared" si="9"/>
        <v>Monitor</v>
      </c>
      <c r="Q44" s="5">
        <v>4</v>
      </c>
      <c r="R44">
        <v>970.62</v>
      </c>
      <c r="S44" s="6">
        <f t="shared" si="10"/>
        <v>970.62</v>
      </c>
      <c r="T44">
        <v>0</v>
      </c>
      <c r="U44" s="2">
        <f t="shared" si="11"/>
        <v>0</v>
      </c>
      <c r="V44">
        <v>793.35</v>
      </c>
      <c r="W44" s="2">
        <f t="shared" si="12"/>
        <v>793.35</v>
      </c>
      <c r="X44" t="s">
        <v>35</v>
      </c>
      <c r="Y44" t="str">
        <f t="shared" si="13"/>
        <v>Bank Transfer</v>
      </c>
      <c r="Z44" t="s">
        <v>56</v>
      </c>
      <c r="AA44" t="str">
        <f t="shared" si="14"/>
        <v>Cancelled</v>
      </c>
      <c r="AC44" s="8"/>
      <c r="AD44" t="str">
        <f t="shared" si="19"/>
        <v>01/03/2025</v>
      </c>
      <c r="AE44" t="b">
        <f t="shared" si="20"/>
        <v>0</v>
      </c>
    </row>
    <row r="45" spans="1:31" x14ac:dyDescent="0.35">
      <c r="A45" t="s">
        <v>213</v>
      </c>
      <c r="B45" t="s">
        <v>214</v>
      </c>
      <c r="C45" s="1">
        <f t="shared" si="15"/>
        <v>45468</v>
      </c>
      <c r="D45" t="s">
        <v>215</v>
      </c>
      <c r="E45" t="s">
        <v>216</v>
      </c>
      <c r="F45" t="str">
        <f t="shared" si="16"/>
        <v>Jonathan Lynn</v>
      </c>
      <c r="G45" t="str">
        <f t="shared" si="17"/>
        <v>Jonathan</v>
      </c>
      <c r="H45" t="str">
        <f t="shared" si="18"/>
        <v>Lynn</v>
      </c>
      <c r="I45" t="s">
        <v>40</v>
      </c>
      <c r="J45" t="str">
        <f t="shared" si="6"/>
        <v>North</v>
      </c>
      <c r="K45" t="s">
        <v>18</v>
      </c>
      <c r="L45" t="str">
        <f t="shared" si="7"/>
        <v>London</v>
      </c>
      <c r="M45" t="s">
        <v>28</v>
      </c>
      <c r="N45" t="str">
        <f t="shared" si="8"/>
        <v>Office Supplies</v>
      </c>
      <c r="O45" t="s">
        <v>153</v>
      </c>
      <c r="P45" t="str">
        <f t="shared" si="9"/>
        <v>Stapler</v>
      </c>
      <c r="Q45" s="5">
        <v>6</v>
      </c>
      <c r="R45">
        <v>683.35</v>
      </c>
      <c r="S45" s="6">
        <f t="shared" si="10"/>
        <v>683.35</v>
      </c>
      <c r="T45">
        <v>0.2</v>
      </c>
      <c r="U45" s="2">
        <f t="shared" si="11"/>
        <v>0.2</v>
      </c>
      <c r="V45">
        <v>232.08</v>
      </c>
      <c r="W45" s="2">
        <f t="shared" si="12"/>
        <v>232.08</v>
      </c>
      <c r="X45" t="s">
        <v>22</v>
      </c>
      <c r="Y45" t="str">
        <f t="shared" si="13"/>
        <v>Cash</v>
      </c>
      <c r="Z45" t="s">
        <v>56</v>
      </c>
      <c r="AA45" t="str">
        <f t="shared" si="14"/>
        <v>Cancelled</v>
      </c>
      <c r="AC45" s="8"/>
      <c r="AD45" t="str">
        <f t="shared" si="19"/>
        <v>06/25/2024</v>
      </c>
      <c r="AE45" t="b">
        <f t="shared" si="20"/>
        <v>1</v>
      </c>
    </row>
    <row r="46" spans="1:31" x14ac:dyDescent="0.35">
      <c r="A46" t="s">
        <v>217</v>
      </c>
      <c r="B46" t="s">
        <v>218</v>
      </c>
      <c r="C46" s="1">
        <f t="shared" si="15"/>
        <v>45343</v>
      </c>
      <c r="D46" t="s">
        <v>219</v>
      </c>
      <c r="E46" t="s">
        <v>220</v>
      </c>
      <c r="F46" t="str">
        <f t="shared" si="16"/>
        <v>Kaitlin Gray</v>
      </c>
      <c r="G46" t="str">
        <f t="shared" si="17"/>
        <v>Kaitlin</v>
      </c>
      <c r="H46" t="str">
        <f t="shared" si="18"/>
        <v>Gray</v>
      </c>
      <c r="I46" t="s">
        <v>40</v>
      </c>
      <c r="J46" t="str">
        <f t="shared" si="6"/>
        <v>North</v>
      </c>
      <c r="K46" t="s">
        <v>34</v>
      </c>
      <c r="L46" t="str">
        <f t="shared" si="7"/>
        <v>Bristol</v>
      </c>
      <c r="M46" t="s">
        <v>48</v>
      </c>
      <c r="N46" t="str">
        <f t="shared" si="8"/>
        <v>Technology</v>
      </c>
      <c r="O46" t="s">
        <v>158</v>
      </c>
      <c r="P46" t="str">
        <f t="shared" si="9"/>
        <v>Keyboard</v>
      </c>
      <c r="Q46" s="5">
        <v>6</v>
      </c>
      <c r="R46">
        <v>26.15</v>
      </c>
      <c r="S46" s="6">
        <f t="shared" si="10"/>
        <v>26.15</v>
      </c>
      <c r="T46">
        <v>0</v>
      </c>
      <c r="U46" s="2">
        <f t="shared" si="11"/>
        <v>0</v>
      </c>
      <c r="V46">
        <v>275.76</v>
      </c>
      <c r="W46" s="2">
        <f t="shared" si="12"/>
        <v>275.76</v>
      </c>
      <c r="X46" t="s">
        <v>69</v>
      </c>
      <c r="Y46" t="str">
        <f t="shared" si="13"/>
        <v>Paypal</v>
      </c>
      <c r="Z46" t="s">
        <v>23</v>
      </c>
      <c r="AA46" t="str">
        <f t="shared" si="14"/>
        <v>Completed</v>
      </c>
      <c r="AC46" s="8"/>
      <c r="AD46" t="str">
        <f t="shared" si="19"/>
        <v>2024/02/21</v>
      </c>
      <c r="AE46" t="b">
        <f t="shared" si="20"/>
        <v>0</v>
      </c>
    </row>
    <row r="47" spans="1:31" x14ac:dyDescent="0.35">
      <c r="A47" t="s">
        <v>221</v>
      </c>
      <c r="B47" t="s">
        <v>222</v>
      </c>
      <c r="C47" s="1">
        <f t="shared" si="15"/>
        <v>45532</v>
      </c>
      <c r="D47" t="s">
        <v>86</v>
      </c>
      <c r="E47" t="s">
        <v>223</v>
      </c>
      <c r="F47" t="str">
        <f t="shared" si="16"/>
        <v>Jennifer Munoz</v>
      </c>
      <c r="G47" t="str">
        <f t="shared" si="17"/>
        <v>Jennifer</v>
      </c>
      <c r="H47" t="str">
        <f t="shared" si="18"/>
        <v>Munoz</v>
      </c>
      <c r="I47" t="s">
        <v>47</v>
      </c>
      <c r="J47" t="str">
        <f t="shared" si="6"/>
        <v>East</v>
      </c>
      <c r="K47" t="s">
        <v>18</v>
      </c>
      <c r="L47" t="str">
        <f t="shared" si="7"/>
        <v>London</v>
      </c>
      <c r="M47" t="s">
        <v>19</v>
      </c>
      <c r="N47" t="str">
        <f t="shared" si="8"/>
        <v>Technology</v>
      </c>
      <c r="O47" t="s">
        <v>158</v>
      </c>
      <c r="P47" t="str">
        <f t="shared" si="9"/>
        <v>Keyboard</v>
      </c>
      <c r="Q47" s="5">
        <v>1</v>
      </c>
      <c r="R47">
        <v>1293.28</v>
      </c>
      <c r="S47" s="6">
        <f t="shared" si="10"/>
        <v>1293.28</v>
      </c>
      <c r="T47" t="s">
        <v>42</v>
      </c>
      <c r="U47" s="2">
        <f t="shared" si="11"/>
        <v>0.1</v>
      </c>
      <c r="V47">
        <v>67.209999999999994</v>
      </c>
      <c r="W47" s="2">
        <f t="shared" si="12"/>
        <v>67.209999999999994</v>
      </c>
      <c r="X47" t="s">
        <v>22</v>
      </c>
      <c r="Y47" t="str">
        <f t="shared" si="13"/>
        <v>Cash</v>
      </c>
      <c r="Z47" t="s">
        <v>23</v>
      </c>
      <c r="AA47" t="str">
        <f t="shared" si="14"/>
        <v>Completed</v>
      </c>
      <c r="AC47" s="8"/>
      <c r="AD47" t="str">
        <f t="shared" si="19"/>
        <v>2024/08/28</v>
      </c>
      <c r="AE47" t="b">
        <f t="shared" si="20"/>
        <v>0</v>
      </c>
    </row>
    <row r="48" spans="1:31" x14ac:dyDescent="0.35">
      <c r="A48" t="s">
        <v>224</v>
      </c>
      <c r="B48" t="s">
        <v>225</v>
      </c>
      <c r="C48" s="1">
        <f t="shared" si="15"/>
        <v>45352</v>
      </c>
      <c r="D48" t="s">
        <v>226</v>
      </c>
      <c r="E48" t="s">
        <v>227</v>
      </c>
      <c r="F48" t="str">
        <f t="shared" si="16"/>
        <v>Brenda Ward</v>
      </c>
      <c r="G48" t="str">
        <f t="shared" si="17"/>
        <v>Brenda</v>
      </c>
      <c r="H48" t="str">
        <f t="shared" si="18"/>
        <v>Ward</v>
      </c>
      <c r="I48" t="s">
        <v>61</v>
      </c>
      <c r="J48" t="str">
        <f t="shared" si="6"/>
        <v>East</v>
      </c>
      <c r="K48" t="s">
        <v>41</v>
      </c>
      <c r="L48" t="str">
        <f t="shared" si="7"/>
        <v>Manchester</v>
      </c>
      <c r="M48" t="s">
        <v>19</v>
      </c>
      <c r="N48" t="str">
        <f t="shared" si="8"/>
        <v>Technology</v>
      </c>
      <c r="O48" t="s">
        <v>135</v>
      </c>
      <c r="P48" t="str">
        <f t="shared" si="9"/>
        <v>Monitor</v>
      </c>
      <c r="Q48" s="5">
        <v>10</v>
      </c>
      <c r="R48">
        <v>342.4</v>
      </c>
      <c r="S48" s="6">
        <f t="shared" si="10"/>
        <v>342.4</v>
      </c>
      <c r="T48" t="s">
        <v>42</v>
      </c>
      <c r="U48" s="2">
        <f t="shared" si="11"/>
        <v>0.1</v>
      </c>
      <c r="V48">
        <v>451.61</v>
      </c>
      <c r="W48" s="2">
        <f t="shared" si="12"/>
        <v>451.61</v>
      </c>
      <c r="X48" t="s">
        <v>49</v>
      </c>
      <c r="Y48" t="str">
        <f t="shared" si="13"/>
        <v>Card</v>
      </c>
      <c r="Z48" t="s">
        <v>23</v>
      </c>
      <c r="AA48" t="str">
        <f t="shared" si="14"/>
        <v>Completed</v>
      </c>
      <c r="AC48" s="8"/>
      <c r="AD48" t="str">
        <f t="shared" si="19"/>
        <v>2024/03/01</v>
      </c>
      <c r="AE48" t="b">
        <f t="shared" si="20"/>
        <v>0</v>
      </c>
    </row>
    <row r="49" spans="1:31" x14ac:dyDescent="0.35">
      <c r="A49" t="s">
        <v>228</v>
      </c>
      <c r="B49" t="s">
        <v>229</v>
      </c>
      <c r="C49" s="1">
        <f t="shared" si="15"/>
        <v>45427</v>
      </c>
      <c r="D49" t="s">
        <v>955</v>
      </c>
      <c r="E49" t="s">
        <v>230</v>
      </c>
      <c r="F49" t="str">
        <f t="shared" si="16"/>
        <v>Martha Powell</v>
      </c>
      <c r="G49" t="str">
        <f t="shared" si="17"/>
        <v>Martha</v>
      </c>
      <c r="H49" t="str">
        <f t="shared" si="18"/>
        <v>Powell</v>
      </c>
      <c r="I49" t="s">
        <v>18</v>
      </c>
      <c r="J49" t="str">
        <f t="shared" si="6"/>
        <v>London</v>
      </c>
      <c r="K49" t="s">
        <v>34</v>
      </c>
      <c r="L49" t="str">
        <f t="shared" si="7"/>
        <v>Bristol</v>
      </c>
      <c r="M49" t="s">
        <v>112</v>
      </c>
      <c r="N49" t="str">
        <f t="shared" si="8"/>
        <v>Technology</v>
      </c>
      <c r="O49" t="s">
        <v>135</v>
      </c>
      <c r="P49" t="str">
        <f t="shared" si="9"/>
        <v>Monitor</v>
      </c>
      <c r="Q49" s="5">
        <v>3</v>
      </c>
      <c r="R49">
        <v>239.02</v>
      </c>
      <c r="S49" s="6">
        <f t="shared" si="10"/>
        <v>239.02</v>
      </c>
      <c r="T49" t="s">
        <v>42</v>
      </c>
      <c r="U49" s="2">
        <f t="shared" si="11"/>
        <v>0.1</v>
      </c>
      <c r="V49">
        <v>689.99</v>
      </c>
      <c r="W49" s="2">
        <f t="shared" si="12"/>
        <v>689.99</v>
      </c>
      <c r="X49" t="s">
        <v>35</v>
      </c>
      <c r="Y49" t="str">
        <f t="shared" si="13"/>
        <v>Bank Transfer</v>
      </c>
      <c r="Z49" t="s">
        <v>56</v>
      </c>
      <c r="AA49" t="str">
        <f t="shared" si="14"/>
        <v>Cancelled</v>
      </c>
      <c r="AC49" s="8"/>
      <c r="AD49" t="str">
        <f t="shared" si="19"/>
        <v>2024/05/15</v>
      </c>
      <c r="AE49" t="b">
        <f t="shared" si="20"/>
        <v>0</v>
      </c>
    </row>
    <row r="50" spans="1:31" x14ac:dyDescent="0.35">
      <c r="A50" t="s">
        <v>231</v>
      </c>
      <c r="B50" t="s">
        <v>232</v>
      </c>
      <c r="C50" s="1">
        <f t="shared" si="15"/>
        <v>45765</v>
      </c>
      <c r="D50" t="s">
        <v>45</v>
      </c>
      <c r="E50" t="s">
        <v>233</v>
      </c>
      <c r="F50" t="str">
        <f t="shared" si="16"/>
        <v>Abigail Roberts</v>
      </c>
      <c r="G50" t="str">
        <f t="shared" si="17"/>
        <v>Abigail</v>
      </c>
      <c r="H50" t="str">
        <f t="shared" si="18"/>
        <v>Roberts</v>
      </c>
      <c r="I50" t="s">
        <v>18</v>
      </c>
      <c r="J50" t="str">
        <f t="shared" si="6"/>
        <v>London</v>
      </c>
      <c r="K50" t="s">
        <v>18</v>
      </c>
      <c r="L50" t="str">
        <f t="shared" si="7"/>
        <v>London</v>
      </c>
      <c r="M50" t="s">
        <v>19</v>
      </c>
      <c r="N50" t="str">
        <f t="shared" si="8"/>
        <v>Technology</v>
      </c>
      <c r="O50" t="s">
        <v>135</v>
      </c>
      <c r="P50" t="str">
        <f t="shared" si="9"/>
        <v>Monitor</v>
      </c>
      <c r="Q50" s="5">
        <v>13</v>
      </c>
      <c r="R50">
        <v>993.47</v>
      </c>
      <c r="S50" s="6">
        <f t="shared" si="10"/>
        <v>993.47</v>
      </c>
      <c r="T50" t="s">
        <v>21</v>
      </c>
      <c r="U50" s="2">
        <f t="shared" si="11"/>
        <v>0.05</v>
      </c>
      <c r="V50">
        <v>426.29</v>
      </c>
      <c r="W50" s="2">
        <f t="shared" si="12"/>
        <v>426.29</v>
      </c>
      <c r="X50" t="s">
        <v>49</v>
      </c>
      <c r="Y50" t="str">
        <f t="shared" si="13"/>
        <v>Card</v>
      </c>
      <c r="Z50" t="s">
        <v>23</v>
      </c>
      <c r="AA50" t="str">
        <f t="shared" si="14"/>
        <v>Completed</v>
      </c>
      <c r="AC50" s="8"/>
      <c r="AD50" t="str">
        <f t="shared" si="19"/>
        <v>18/04/2025</v>
      </c>
      <c r="AE50" t="b">
        <f t="shared" si="20"/>
        <v>0</v>
      </c>
    </row>
    <row r="51" spans="1:31" x14ac:dyDescent="0.35">
      <c r="A51" t="s">
        <v>234</v>
      </c>
      <c r="B51" t="s">
        <v>235</v>
      </c>
      <c r="C51" s="1">
        <f t="shared" si="15"/>
        <v>45596</v>
      </c>
      <c r="D51" t="s">
        <v>72</v>
      </c>
      <c r="E51" t="s">
        <v>236</v>
      </c>
      <c r="F51" t="str">
        <f t="shared" si="16"/>
        <v>Arthur Calhoun</v>
      </c>
      <c r="G51" t="str">
        <f t="shared" si="17"/>
        <v>Arthur</v>
      </c>
      <c r="H51" t="str">
        <f t="shared" si="18"/>
        <v>Calhoun</v>
      </c>
      <c r="I51" t="s">
        <v>93</v>
      </c>
      <c r="J51" t="str">
        <f t="shared" si="6"/>
        <v>North</v>
      </c>
      <c r="K51" t="s">
        <v>103</v>
      </c>
      <c r="L51" t="str">
        <f t="shared" si="7"/>
        <v>Norwich</v>
      </c>
      <c r="M51" t="s">
        <v>112</v>
      </c>
      <c r="N51" t="str">
        <f t="shared" si="8"/>
        <v>Technology</v>
      </c>
      <c r="O51" t="s">
        <v>158</v>
      </c>
      <c r="P51" t="str">
        <f t="shared" si="9"/>
        <v>Keyboard</v>
      </c>
      <c r="Q51" s="5">
        <v>5</v>
      </c>
      <c r="R51">
        <v>705.7</v>
      </c>
      <c r="S51" s="6">
        <f t="shared" si="10"/>
        <v>705.7</v>
      </c>
      <c r="T51">
        <v>0.1</v>
      </c>
      <c r="U51" s="2">
        <f t="shared" si="11"/>
        <v>0.1</v>
      </c>
      <c r="V51">
        <v>403.7</v>
      </c>
      <c r="W51" s="2">
        <f t="shared" si="12"/>
        <v>403.7</v>
      </c>
      <c r="X51" t="s">
        <v>49</v>
      </c>
      <c r="Y51" t="str">
        <f t="shared" si="13"/>
        <v>Card</v>
      </c>
      <c r="Z51" t="s">
        <v>56</v>
      </c>
      <c r="AA51" t="str">
        <f t="shared" si="14"/>
        <v>Cancelled</v>
      </c>
      <c r="AC51" s="8"/>
      <c r="AD51" t="str">
        <f t="shared" si="19"/>
        <v>10/31/2024</v>
      </c>
      <c r="AE51" t="b">
        <f t="shared" si="20"/>
        <v>1</v>
      </c>
    </row>
    <row r="52" spans="1:31" x14ac:dyDescent="0.35">
      <c r="A52" t="s">
        <v>237</v>
      </c>
      <c r="B52" t="s">
        <v>238</v>
      </c>
      <c r="C52" s="1">
        <f t="shared" si="15"/>
        <v>45305</v>
      </c>
      <c r="D52" t="s">
        <v>175</v>
      </c>
      <c r="E52" t="s">
        <v>239</v>
      </c>
      <c r="F52" t="str">
        <f t="shared" si="16"/>
        <v>Loretta Wilson</v>
      </c>
      <c r="G52" t="str">
        <f t="shared" si="17"/>
        <v>Loretta</v>
      </c>
      <c r="H52" t="str">
        <f t="shared" si="18"/>
        <v>Wilson</v>
      </c>
      <c r="I52" t="s">
        <v>40</v>
      </c>
      <c r="J52" t="str">
        <f t="shared" si="6"/>
        <v>North</v>
      </c>
      <c r="K52" t="s">
        <v>94</v>
      </c>
      <c r="L52" t="str">
        <f t="shared" si="7"/>
        <v>Birmingham</v>
      </c>
      <c r="M52" t="s">
        <v>48</v>
      </c>
      <c r="N52" t="str">
        <f t="shared" si="8"/>
        <v>Technology</v>
      </c>
      <c r="O52" t="s">
        <v>158</v>
      </c>
      <c r="P52" t="str">
        <f t="shared" si="9"/>
        <v>Keyboard</v>
      </c>
      <c r="Q52" s="5">
        <v>11</v>
      </c>
      <c r="R52">
        <v>864.92</v>
      </c>
      <c r="S52" s="6">
        <f t="shared" si="10"/>
        <v>864.92</v>
      </c>
      <c r="T52">
        <v>0.2</v>
      </c>
      <c r="U52" s="2">
        <f t="shared" si="11"/>
        <v>0.2</v>
      </c>
      <c r="V52">
        <v>999.57</v>
      </c>
      <c r="W52" s="2">
        <f t="shared" si="12"/>
        <v>999.57</v>
      </c>
      <c r="X52" t="s">
        <v>69</v>
      </c>
      <c r="Y52" t="str">
        <f t="shared" si="13"/>
        <v>Paypal</v>
      </c>
      <c r="Z52" t="s">
        <v>23</v>
      </c>
      <c r="AA52" t="str">
        <f t="shared" si="14"/>
        <v>Completed</v>
      </c>
      <c r="AC52" s="8"/>
      <c r="AD52" t="str">
        <f t="shared" si="19"/>
        <v>14/01/2024</v>
      </c>
      <c r="AE52" t="b">
        <f t="shared" si="20"/>
        <v>0</v>
      </c>
    </row>
    <row r="53" spans="1:31" x14ac:dyDescent="0.35">
      <c r="A53" t="s">
        <v>240</v>
      </c>
      <c r="B53" t="s">
        <v>241</v>
      </c>
      <c r="C53" s="1">
        <f t="shared" si="15"/>
        <v>45617</v>
      </c>
      <c r="D53" t="s">
        <v>242</v>
      </c>
      <c r="E53" t="s">
        <v>243</v>
      </c>
      <c r="F53" t="str">
        <f t="shared" si="16"/>
        <v>Dana Mccormick</v>
      </c>
      <c r="G53" t="str">
        <f t="shared" si="17"/>
        <v>Dana</v>
      </c>
      <c r="H53" t="str">
        <f t="shared" si="18"/>
        <v>Mccormick</v>
      </c>
      <c r="I53" t="s">
        <v>18</v>
      </c>
      <c r="J53" t="str">
        <f t="shared" si="6"/>
        <v>London</v>
      </c>
      <c r="K53" t="s">
        <v>34</v>
      </c>
      <c r="L53" t="str">
        <f t="shared" si="7"/>
        <v>Bristol</v>
      </c>
      <c r="M53" t="s">
        <v>112</v>
      </c>
      <c r="N53" t="str">
        <f t="shared" si="8"/>
        <v>Technology</v>
      </c>
      <c r="O53" t="s">
        <v>88</v>
      </c>
      <c r="P53" t="str">
        <f t="shared" si="9"/>
        <v>Mouse</v>
      </c>
      <c r="Q53" s="5">
        <v>8</v>
      </c>
      <c r="R53">
        <v>503.3</v>
      </c>
      <c r="S53" s="6">
        <f t="shared" si="10"/>
        <v>503.3</v>
      </c>
      <c r="T53">
        <v>0.1</v>
      </c>
      <c r="U53" s="2">
        <f t="shared" si="11"/>
        <v>0.1</v>
      </c>
      <c r="V53">
        <v>858.02</v>
      </c>
      <c r="W53" s="2">
        <f t="shared" si="12"/>
        <v>858.02</v>
      </c>
      <c r="X53" t="s">
        <v>69</v>
      </c>
      <c r="Y53" t="str">
        <f t="shared" si="13"/>
        <v>Paypal</v>
      </c>
      <c r="Z53" t="s">
        <v>23</v>
      </c>
      <c r="AA53" t="str">
        <f t="shared" si="14"/>
        <v>Completed</v>
      </c>
      <c r="AC53" s="8"/>
      <c r="AD53" t="str">
        <f t="shared" si="19"/>
        <v>11/21/2024</v>
      </c>
      <c r="AE53" t="b">
        <f t="shared" si="20"/>
        <v>1</v>
      </c>
    </row>
    <row r="54" spans="1:31" x14ac:dyDescent="0.35">
      <c r="A54" t="s">
        <v>244</v>
      </c>
      <c r="B54" t="s">
        <v>245</v>
      </c>
      <c r="C54" s="1">
        <f t="shared" si="15"/>
        <v>45453</v>
      </c>
      <c r="D54" t="s">
        <v>246</v>
      </c>
      <c r="E54" t="s">
        <v>247</v>
      </c>
      <c r="F54" t="str">
        <f t="shared" si="16"/>
        <v>Darrell Price</v>
      </c>
      <c r="G54" t="str">
        <f t="shared" si="17"/>
        <v>Darrell</v>
      </c>
      <c r="H54" t="str">
        <f t="shared" si="18"/>
        <v>Price</v>
      </c>
      <c r="I54" t="s">
        <v>47</v>
      </c>
      <c r="J54" t="str">
        <f t="shared" si="6"/>
        <v>East</v>
      </c>
      <c r="K54" t="s">
        <v>18</v>
      </c>
      <c r="L54" t="str">
        <f t="shared" si="7"/>
        <v>London</v>
      </c>
      <c r="M54" t="s">
        <v>54</v>
      </c>
      <c r="N54" t="str">
        <f t="shared" si="8"/>
        <v>Furniture</v>
      </c>
      <c r="O54" t="s">
        <v>74</v>
      </c>
      <c r="P54" t="str">
        <f t="shared" si="9"/>
        <v>Desk</v>
      </c>
      <c r="Q54" s="5">
        <v>2</v>
      </c>
      <c r="R54">
        <v>609.24</v>
      </c>
      <c r="S54" s="6">
        <f t="shared" si="10"/>
        <v>609.24</v>
      </c>
      <c r="T54">
        <v>0.2</v>
      </c>
      <c r="U54" s="2">
        <f t="shared" si="11"/>
        <v>0.2</v>
      </c>
      <c r="V54">
        <v>988.14</v>
      </c>
      <c r="W54" s="2">
        <f t="shared" si="12"/>
        <v>988.14</v>
      </c>
      <c r="X54" t="s">
        <v>35</v>
      </c>
      <c r="Y54" t="str">
        <f t="shared" si="13"/>
        <v>Bank Transfer</v>
      </c>
      <c r="Z54" t="s">
        <v>56</v>
      </c>
      <c r="AA54" t="str">
        <f t="shared" si="14"/>
        <v>Cancelled</v>
      </c>
      <c r="AC54" s="8"/>
      <c r="AD54" t="str">
        <f t="shared" si="19"/>
        <v>10/06/2024</v>
      </c>
      <c r="AE54" t="b">
        <f t="shared" si="20"/>
        <v>0</v>
      </c>
    </row>
    <row r="55" spans="1:31" x14ac:dyDescent="0.35">
      <c r="A55" t="s">
        <v>248</v>
      </c>
      <c r="B55" t="s">
        <v>249</v>
      </c>
      <c r="C55" s="1">
        <f t="shared" si="15"/>
        <v>45396</v>
      </c>
      <c r="D55" t="s">
        <v>250</v>
      </c>
      <c r="E55" t="s">
        <v>251</v>
      </c>
      <c r="F55" t="str">
        <f t="shared" si="16"/>
        <v>David Pope</v>
      </c>
      <c r="G55" t="str">
        <f t="shared" si="17"/>
        <v>David</v>
      </c>
      <c r="H55" t="str">
        <f t="shared" si="18"/>
        <v>Pope</v>
      </c>
      <c r="I55" t="s">
        <v>40</v>
      </c>
      <c r="J55" t="str">
        <f t="shared" si="6"/>
        <v>North</v>
      </c>
      <c r="K55" t="s">
        <v>41</v>
      </c>
      <c r="L55" t="str">
        <f t="shared" si="7"/>
        <v>Manchester</v>
      </c>
      <c r="M55" t="s">
        <v>54</v>
      </c>
      <c r="N55" t="str">
        <f t="shared" si="8"/>
        <v>Furniture</v>
      </c>
      <c r="O55" t="s">
        <v>74</v>
      </c>
      <c r="P55" t="str">
        <f t="shared" si="9"/>
        <v>Desk</v>
      </c>
      <c r="Q55" s="5">
        <v>3</v>
      </c>
      <c r="R55">
        <v>659.98</v>
      </c>
      <c r="S55" s="6">
        <f t="shared" si="10"/>
        <v>659.98</v>
      </c>
      <c r="T55">
        <v>0.2</v>
      </c>
      <c r="U55" s="2">
        <f t="shared" si="11"/>
        <v>0.2</v>
      </c>
      <c r="V55">
        <v>123.18</v>
      </c>
      <c r="W55" s="2">
        <f t="shared" si="12"/>
        <v>123.18</v>
      </c>
      <c r="X55" t="s">
        <v>49</v>
      </c>
      <c r="Y55" t="str">
        <f t="shared" si="13"/>
        <v>Card</v>
      </c>
      <c r="Z55" t="s">
        <v>56</v>
      </c>
      <c r="AA55" t="str">
        <f t="shared" si="14"/>
        <v>Cancelled</v>
      </c>
      <c r="AC55" s="8"/>
      <c r="AD55" t="str">
        <f t="shared" si="19"/>
        <v>14/04/2024</v>
      </c>
      <c r="AE55" t="b">
        <f t="shared" si="20"/>
        <v>0</v>
      </c>
    </row>
    <row r="56" spans="1:31" x14ac:dyDescent="0.35">
      <c r="A56" t="s">
        <v>252</v>
      </c>
      <c r="B56" t="s">
        <v>253</v>
      </c>
      <c r="C56" s="1">
        <f t="shared" si="15"/>
        <v>45722</v>
      </c>
      <c r="D56" t="s">
        <v>175</v>
      </c>
      <c r="E56" t="s">
        <v>254</v>
      </c>
      <c r="F56" t="str">
        <f t="shared" si="16"/>
        <v>Charles Petersen</v>
      </c>
      <c r="G56" t="str">
        <f t="shared" si="17"/>
        <v>Charles</v>
      </c>
      <c r="H56" t="str">
        <f t="shared" si="18"/>
        <v>Petersen</v>
      </c>
      <c r="I56" t="s">
        <v>93</v>
      </c>
      <c r="J56" t="str">
        <f t="shared" si="6"/>
        <v>North</v>
      </c>
      <c r="K56" t="s">
        <v>94</v>
      </c>
      <c r="L56" t="str">
        <f t="shared" si="7"/>
        <v>Birmingham</v>
      </c>
      <c r="M56" t="s">
        <v>19</v>
      </c>
      <c r="N56" t="str">
        <f t="shared" si="8"/>
        <v>Technology</v>
      </c>
      <c r="O56" t="s">
        <v>135</v>
      </c>
      <c r="P56" t="str">
        <f t="shared" si="9"/>
        <v>Monitor</v>
      </c>
      <c r="Q56" s="5">
        <v>2</v>
      </c>
      <c r="R56">
        <v>235.19</v>
      </c>
      <c r="S56" s="6">
        <f t="shared" si="10"/>
        <v>235.19</v>
      </c>
      <c r="T56">
        <v>0.2</v>
      </c>
      <c r="U56" s="2">
        <f t="shared" si="11"/>
        <v>0.2</v>
      </c>
      <c r="V56">
        <v>293.27999999999997</v>
      </c>
      <c r="W56" s="2">
        <f t="shared" si="12"/>
        <v>293.27999999999997</v>
      </c>
      <c r="X56" t="s">
        <v>22</v>
      </c>
      <c r="Y56" t="str">
        <f t="shared" si="13"/>
        <v>Cash</v>
      </c>
      <c r="Z56" t="s">
        <v>56</v>
      </c>
      <c r="AA56" t="str">
        <f t="shared" si="14"/>
        <v>Cancelled</v>
      </c>
      <c r="AC56" s="8"/>
      <c r="AD56" t="str">
        <f t="shared" si="19"/>
        <v>2025/03/06</v>
      </c>
      <c r="AE56" t="b">
        <f t="shared" si="20"/>
        <v>0</v>
      </c>
    </row>
    <row r="57" spans="1:31" x14ac:dyDescent="0.35">
      <c r="A57" t="s">
        <v>255</v>
      </c>
      <c r="B57" t="s">
        <v>256</v>
      </c>
      <c r="C57" s="1">
        <f t="shared" si="15"/>
        <v>45488</v>
      </c>
      <c r="D57" t="s">
        <v>97</v>
      </c>
      <c r="E57" t="s">
        <v>257</v>
      </c>
      <c r="F57" t="str">
        <f t="shared" si="16"/>
        <v>Jerry Wolf</v>
      </c>
      <c r="G57" t="str">
        <f t="shared" si="17"/>
        <v>Jerry</v>
      </c>
      <c r="H57" t="str">
        <f t="shared" si="18"/>
        <v>Wolf</v>
      </c>
      <c r="I57" t="s">
        <v>18</v>
      </c>
      <c r="J57" t="str">
        <f t="shared" si="6"/>
        <v>London</v>
      </c>
      <c r="K57" t="s">
        <v>103</v>
      </c>
      <c r="L57" t="str">
        <f t="shared" si="7"/>
        <v>Norwich</v>
      </c>
      <c r="M57" t="s">
        <v>28</v>
      </c>
      <c r="N57" t="str">
        <f t="shared" si="8"/>
        <v>Office Supplies</v>
      </c>
      <c r="O57" t="s">
        <v>29</v>
      </c>
      <c r="P57" t="str">
        <f t="shared" si="9"/>
        <v>Paper</v>
      </c>
      <c r="Q57" s="5">
        <v>10</v>
      </c>
      <c r="R57">
        <v>1319.59</v>
      </c>
      <c r="S57" s="6">
        <f t="shared" si="10"/>
        <v>1319.59</v>
      </c>
      <c r="T57" t="s">
        <v>42</v>
      </c>
      <c r="U57" s="2">
        <f t="shared" si="11"/>
        <v>0.1</v>
      </c>
      <c r="V57">
        <v>277.69</v>
      </c>
      <c r="W57" s="2">
        <f t="shared" si="12"/>
        <v>277.69</v>
      </c>
      <c r="X57" t="s">
        <v>35</v>
      </c>
      <c r="Y57" t="str">
        <f t="shared" si="13"/>
        <v>Bank Transfer</v>
      </c>
      <c r="Z57" t="s">
        <v>23</v>
      </c>
      <c r="AA57" t="str">
        <f t="shared" si="14"/>
        <v>Completed</v>
      </c>
      <c r="AC57" s="8"/>
      <c r="AD57" t="str">
        <f t="shared" si="19"/>
        <v>15/07/2024</v>
      </c>
      <c r="AE57" t="b">
        <f t="shared" si="20"/>
        <v>0</v>
      </c>
    </row>
    <row r="58" spans="1:31" x14ac:dyDescent="0.35">
      <c r="A58" t="s">
        <v>258</v>
      </c>
      <c r="B58" t="s">
        <v>259</v>
      </c>
      <c r="C58" s="1">
        <f t="shared" si="15"/>
        <v>45629</v>
      </c>
      <c r="D58" t="s">
        <v>215</v>
      </c>
      <c r="E58" t="s">
        <v>260</v>
      </c>
      <c r="F58" t="str">
        <f t="shared" si="16"/>
        <v>Tracy Prince</v>
      </c>
      <c r="G58" t="str">
        <f t="shared" si="17"/>
        <v>Tracy</v>
      </c>
      <c r="H58" t="str">
        <f t="shared" si="18"/>
        <v>Prince</v>
      </c>
      <c r="I58" t="s">
        <v>83</v>
      </c>
      <c r="J58" t="str">
        <f t="shared" si="6"/>
        <v>South</v>
      </c>
      <c r="K58" t="s">
        <v>62</v>
      </c>
      <c r="L58" t="str">
        <f t="shared" si="7"/>
        <v>Leeds</v>
      </c>
      <c r="M58" t="s">
        <v>28</v>
      </c>
      <c r="N58" t="str">
        <f t="shared" si="8"/>
        <v>Office Supplies</v>
      </c>
      <c r="O58" t="s">
        <v>153</v>
      </c>
      <c r="P58" t="str">
        <f t="shared" si="9"/>
        <v>Stapler</v>
      </c>
      <c r="Q58" s="5">
        <v>9</v>
      </c>
      <c r="R58">
        <v>502</v>
      </c>
      <c r="S58" s="6">
        <f t="shared" si="10"/>
        <v>502</v>
      </c>
      <c r="T58">
        <v>0.1</v>
      </c>
      <c r="U58" s="2">
        <f t="shared" si="11"/>
        <v>0.1</v>
      </c>
      <c r="V58">
        <v>378.46</v>
      </c>
      <c r="W58" s="2">
        <f t="shared" si="12"/>
        <v>378.46</v>
      </c>
      <c r="X58" t="s">
        <v>69</v>
      </c>
      <c r="Y58" t="str">
        <f t="shared" si="13"/>
        <v>Paypal</v>
      </c>
      <c r="Z58" t="s">
        <v>23</v>
      </c>
      <c r="AA58" t="str">
        <f t="shared" si="14"/>
        <v>Completed</v>
      </c>
      <c r="AC58" s="8"/>
      <c r="AD58" t="str">
        <f t="shared" si="19"/>
        <v>2024/12/03</v>
      </c>
      <c r="AE58" t="b">
        <f t="shared" si="20"/>
        <v>0</v>
      </c>
    </row>
    <row r="59" spans="1:31" x14ac:dyDescent="0.35">
      <c r="A59" t="s">
        <v>261</v>
      </c>
      <c r="B59" t="s">
        <v>262</v>
      </c>
      <c r="C59" s="1">
        <f t="shared" si="15"/>
        <v>45602</v>
      </c>
      <c r="D59" t="s">
        <v>263</v>
      </c>
      <c r="E59" t="s">
        <v>264</v>
      </c>
      <c r="F59" t="str">
        <f t="shared" si="16"/>
        <v>Michelle Case</v>
      </c>
      <c r="G59" t="str">
        <f t="shared" si="17"/>
        <v>Michelle</v>
      </c>
      <c r="H59" t="str">
        <f t="shared" si="18"/>
        <v>Case</v>
      </c>
      <c r="I59" t="s">
        <v>40</v>
      </c>
      <c r="J59" t="str">
        <f t="shared" si="6"/>
        <v>North</v>
      </c>
      <c r="K59" t="s">
        <v>62</v>
      </c>
      <c r="L59" t="str">
        <f t="shared" si="7"/>
        <v>Leeds</v>
      </c>
      <c r="M59" t="s">
        <v>54</v>
      </c>
      <c r="N59" t="str">
        <f t="shared" si="8"/>
        <v>Furniture</v>
      </c>
      <c r="O59" t="s">
        <v>74</v>
      </c>
      <c r="P59" t="str">
        <f t="shared" si="9"/>
        <v>Desk</v>
      </c>
      <c r="Q59" s="5">
        <v>13</v>
      </c>
      <c r="R59">
        <v>1482.68</v>
      </c>
      <c r="S59" s="6">
        <f t="shared" si="10"/>
        <v>1482.68</v>
      </c>
      <c r="T59">
        <v>0.05</v>
      </c>
      <c r="U59" s="2">
        <f t="shared" si="11"/>
        <v>0.05</v>
      </c>
      <c r="V59">
        <v>652.71</v>
      </c>
      <c r="W59" s="2">
        <f t="shared" si="12"/>
        <v>652.71</v>
      </c>
      <c r="X59" t="s">
        <v>35</v>
      </c>
      <c r="Y59" t="str">
        <f t="shared" si="13"/>
        <v>Bank Transfer</v>
      </c>
      <c r="Z59" t="s">
        <v>23</v>
      </c>
      <c r="AA59" t="str">
        <f t="shared" si="14"/>
        <v>Completed</v>
      </c>
      <c r="AC59" s="8"/>
      <c r="AD59" t="str">
        <f t="shared" si="19"/>
        <v>06/11/2024</v>
      </c>
      <c r="AE59" t="b">
        <f t="shared" si="20"/>
        <v>0</v>
      </c>
    </row>
    <row r="60" spans="1:31" x14ac:dyDescent="0.35">
      <c r="A60" t="s">
        <v>265</v>
      </c>
      <c r="B60" t="s">
        <v>266</v>
      </c>
      <c r="C60" s="1">
        <f t="shared" si="15"/>
        <v>45561</v>
      </c>
      <c r="D60" t="s">
        <v>97</v>
      </c>
      <c r="E60" t="s">
        <v>267</v>
      </c>
      <c r="F60" t="str">
        <f t="shared" si="16"/>
        <v>Monique House</v>
      </c>
      <c r="G60" t="str">
        <f t="shared" si="17"/>
        <v>Monique</v>
      </c>
      <c r="H60" t="str">
        <f t="shared" si="18"/>
        <v>House</v>
      </c>
      <c r="I60" t="s">
        <v>61</v>
      </c>
      <c r="J60" t="str">
        <f t="shared" si="6"/>
        <v>East</v>
      </c>
      <c r="K60" t="s">
        <v>34</v>
      </c>
      <c r="L60" t="str">
        <f t="shared" si="7"/>
        <v>Bristol</v>
      </c>
      <c r="M60" t="s">
        <v>54</v>
      </c>
      <c r="N60" t="str">
        <f t="shared" si="8"/>
        <v>Furniture</v>
      </c>
      <c r="O60" t="s">
        <v>74</v>
      </c>
      <c r="P60" t="str">
        <f t="shared" si="9"/>
        <v>Desk</v>
      </c>
      <c r="Q60" s="5">
        <v>3</v>
      </c>
      <c r="R60">
        <v>983.9</v>
      </c>
      <c r="S60" s="6">
        <f t="shared" si="10"/>
        <v>983.9</v>
      </c>
      <c r="T60">
        <v>0.1</v>
      </c>
      <c r="U60" s="2">
        <f t="shared" si="11"/>
        <v>0.1</v>
      </c>
      <c r="V60">
        <v>470.55</v>
      </c>
      <c r="W60" s="2">
        <f t="shared" si="12"/>
        <v>470.55</v>
      </c>
      <c r="X60" t="s">
        <v>49</v>
      </c>
      <c r="Y60" t="str">
        <f t="shared" si="13"/>
        <v>Card</v>
      </c>
      <c r="Z60" t="s">
        <v>23</v>
      </c>
      <c r="AA60" t="str">
        <f t="shared" si="14"/>
        <v>Completed</v>
      </c>
      <c r="AC60" s="8"/>
      <c r="AD60" t="str">
        <f t="shared" si="19"/>
        <v>2024/09/26</v>
      </c>
      <c r="AE60" t="b">
        <f t="shared" si="20"/>
        <v>0</v>
      </c>
    </row>
    <row r="61" spans="1:31" x14ac:dyDescent="0.35">
      <c r="A61" t="s">
        <v>268</v>
      </c>
      <c r="B61" t="s">
        <v>71</v>
      </c>
      <c r="C61" s="1">
        <f t="shared" si="15"/>
        <v>45721</v>
      </c>
      <c r="D61" t="s">
        <v>106</v>
      </c>
      <c r="E61" t="s">
        <v>269</v>
      </c>
      <c r="F61" t="str">
        <f t="shared" si="16"/>
        <v>Michael Stout</v>
      </c>
      <c r="G61" t="str">
        <f t="shared" si="17"/>
        <v>Michael</v>
      </c>
      <c r="H61" t="str">
        <f t="shared" si="18"/>
        <v>Stout</v>
      </c>
      <c r="I61" t="s">
        <v>17</v>
      </c>
      <c r="J61" t="str">
        <f t="shared" si="6"/>
        <v>West</v>
      </c>
      <c r="K61" t="s">
        <v>94</v>
      </c>
      <c r="L61" t="str">
        <f t="shared" si="7"/>
        <v>Birmingham</v>
      </c>
      <c r="M61" t="s">
        <v>28</v>
      </c>
      <c r="N61" t="str">
        <f t="shared" si="8"/>
        <v>Office Supplies</v>
      </c>
      <c r="O61" t="s">
        <v>63</v>
      </c>
      <c r="P61" t="str">
        <f t="shared" si="9"/>
        <v>Pen</v>
      </c>
      <c r="Q61" s="5">
        <v>13</v>
      </c>
      <c r="R61">
        <v>813.82</v>
      </c>
      <c r="S61" s="6">
        <f t="shared" si="10"/>
        <v>813.82</v>
      </c>
      <c r="T61">
        <v>0.2</v>
      </c>
      <c r="U61" s="2">
        <f t="shared" si="11"/>
        <v>0.2</v>
      </c>
      <c r="V61">
        <v>236.3</v>
      </c>
      <c r="W61" s="2">
        <f t="shared" si="12"/>
        <v>236.3</v>
      </c>
      <c r="X61" t="s">
        <v>49</v>
      </c>
      <c r="Y61" t="str">
        <f t="shared" si="13"/>
        <v>Card</v>
      </c>
      <c r="Z61" t="s">
        <v>23</v>
      </c>
      <c r="AA61" t="str">
        <f t="shared" si="14"/>
        <v>Completed</v>
      </c>
      <c r="AC61" s="8"/>
      <c r="AD61" t="str">
        <f t="shared" si="19"/>
        <v>05/03/2025</v>
      </c>
      <c r="AE61" t="b">
        <f t="shared" si="20"/>
        <v>0</v>
      </c>
    </row>
    <row r="62" spans="1:31" x14ac:dyDescent="0.35">
      <c r="A62" t="s">
        <v>270</v>
      </c>
      <c r="B62" t="s">
        <v>271</v>
      </c>
      <c r="C62" s="1">
        <f t="shared" si="15"/>
        <v>45647</v>
      </c>
      <c r="D62" t="s">
        <v>272</v>
      </c>
      <c r="E62" t="s">
        <v>273</v>
      </c>
      <c r="F62" t="str">
        <f t="shared" si="16"/>
        <v>Krista Vega</v>
      </c>
      <c r="G62" t="str">
        <f t="shared" si="17"/>
        <v>Krista</v>
      </c>
      <c r="H62" t="str">
        <f t="shared" si="18"/>
        <v>Vega</v>
      </c>
      <c r="I62" t="s">
        <v>40</v>
      </c>
      <c r="J62" t="str">
        <f t="shared" si="6"/>
        <v>North</v>
      </c>
      <c r="K62" t="s">
        <v>18</v>
      </c>
      <c r="L62" t="str">
        <f t="shared" si="7"/>
        <v>London</v>
      </c>
      <c r="M62" t="s">
        <v>54</v>
      </c>
      <c r="N62" t="str">
        <f t="shared" si="8"/>
        <v>Furniture</v>
      </c>
      <c r="O62" t="s">
        <v>74</v>
      </c>
      <c r="P62" t="str">
        <f t="shared" si="9"/>
        <v>Desk</v>
      </c>
      <c r="Q62" s="5">
        <v>-1</v>
      </c>
      <c r="R62">
        <v>1195.23</v>
      </c>
      <c r="S62" s="6">
        <f t="shared" si="10"/>
        <v>1195.23</v>
      </c>
      <c r="T62">
        <v>0.05</v>
      </c>
      <c r="U62" s="2">
        <f t="shared" si="11"/>
        <v>0.05</v>
      </c>
      <c r="V62">
        <v>376.09</v>
      </c>
      <c r="W62" s="2">
        <f t="shared" si="12"/>
        <v>376.09</v>
      </c>
      <c r="X62" t="s">
        <v>22</v>
      </c>
      <c r="Y62" t="str">
        <f t="shared" si="13"/>
        <v>Cash</v>
      </c>
      <c r="Z62" t="s">
        <v>23</v>
      </c>
      <c r="AA62" t="str">
        <f t="shared" si="14"/>
        <v>Completed</v>
      </c>
      <c r="AC62" s="8"/>
      <c r="AD62" t="str">
        <f t="shared" si="19"/>
        <v>21/12/2024</v>
      </c>
      <c r="AE62" t="b">
        <f t="shared" si="20"/>
        <v>0</v>
      </c>
    </row>
    <row r="63" spans="1:31" x14ac:dyDescent="0.35">
      <c r="A63" t="s">
        <v>274</v>
      </c>
      <c r="B63" t="s">
        <v>275</v>
      </c>
      <c r="C63" s="1">
        <f t="shared" si="15"/>
        <v>45609</v>
      </c>
      <c r="D63" t="s">
        <v>276</v>
      </c>
      <c r="E63" t="s">
        <v>277</v>
      </c>
      <c r="F63" t="str">
        <f t="shared" si="16"/>
        <v>Jessica Ellis</v>
      </c>
      <c r="G63" t="str">
        <f t="shared" si="17"/>
        <v>Jessica</v>
      </c>
      <c r="H63" t="str">
        <f t="shared" si="18"/>
        <v>Ellis</v>
      </c>
      <c r="I63" t="s">
        <v>40</v>
      </c>
      <c r="J63" t="str">
        <f t="shared" si="6"/>
        <v>North</v>
      </c>
      <c r="K63" t="s">
        <v>103</v>
      </c>
      <c r="L63" t="str">
        <f t="shared" si="7"/>
        <v>Norwich</v>
      </c>
      <c r="M63" t="s">
        <v>28</v>
      </c>
      <c r="N63" t="str">
        <f t="shared" si="8"/>
        <v>Office Supplies</v>
      </c>
      <c r="O63" t="s">
        <v>63</v>
      </c>
      <c r="P63" t="str">
        <f t="shared" si="9"/>
        <v>Pen</v>
      </c>
      <c r="Q63" s="5">
        <v>10</v>
      </c>
      <c r="R63">
        <v>694.42</v>
      </c>
      <c r="S63" s="6">
        <f t="shared" si="10"/>
        <v>694.42</v>
      </c>
      <c r="T63">
        <v>0</v>
      </c>
      <c r="U63" s="2">
        <f t="shared" si="11"/>
        <v>0</v>
      </c>
      <c r="V63">
        <v>256.82</v>
      </c>
      <c r="W63" s="2">
        <f t="shared" si="12"/>
        <v>256.82</v>
      </c>
      <c r="X63" t="s">
        <v>69</v>
      </c>
      <c r="Y63" t="str">
        <f t="shared" si="13"/>
        <v>Paypal</v>
      </c>
      <c r="Z63" t="s">
        <v>23</v>
      </c>
      <c r="AA63" t="str">
        <f t="shared" si="14"/>
        <v>Completed</v>
      </c>
      <c r="AC63" s="8"/>
      <c r="AD63" t="str">
        <f t="shared" si="19"/>
        <v>2024/11/13</v>
      </c>
      <c r="AE63" t="b">
        <f t="shared" si="20"/>
        <v>0</v>
      </c>
    </row>
    <row r="64" spans="1:31" x14ac:dyDescent="0.35">
      <c r="A64" t="s">
        <v>278</v>
      </c>
      <c r="B64" t="s">
        <v>279</v>
      </c>
      <c r="C64" s="1">
        <f t="shared" si="15"/>
        <v>45619</v>
      </c>
      <c r="D64" t="s">
        <v>32</v>
      </c>
      <c r="E64" t="s">
        <v>280</v>
      </c>
      <c r="F64" t="str">
        <f t="shared" si="16"/>
        <v>Javier Mendoza</v>
      </c>
      <c r="G64" t="str">
        <f t="shared" si="17"/>
        <v>Javier</v>
      </c>
      <c r="H64" t="str">
        <f t="shared" si="18"/>
        <v>Mendoza</v>
      </c>
      <c r="I64" t="s">
        <v>18</v>
      </c>
      <c r="J64" t="str">
        <f t="shared" si="6"/>
        <v>London</v>
      </c>
      <c r="K64" t="s">
        <v>34</v>
      </c>
      <c r="L64" t="str">
        <f t="shared" si="7"/>
        <v>Bristol</v>
      </c>
      <c r="M64" t="s">
        <v>28</v>
      </c>
      <c r="N64" t="str">
        <f t="shared" si="8"/>
        <v>Office Supplies</v>
      </c>
      <c r="O64" t="s">
        <v>63</v>
      </c>
      <c r="P64" t="str">
        <f t="shared" si="9"/>
        <v>Pen</v>
      </c>
      <c r="Q64" s="5">
        <v>8</v>
      </c>
      <c r="R64">
        <v>302.83</v>
      </c>
      <c r="S64" s="6">
        <f t="shared" si="10"/>
        <v>302.83</v>
      </c>
      <c r="T64">
        <v>0.05</v>
      </c>
      <c r="U64" s="2">
        <f t="shared" si="11"/>
        <v>0.05</v>
      </c>
      <c r="V64">
        <v>484.24</v>
      </c>
      <c r="W64" s="2">
        <f t="shared" si="12"/>
        <v>484.24</v>
      </c>
      <c r="X64" t="s">
        <v>35</v>
      </c>
      <c r="Y64" t="str">
        <f t="shared" si="13"/>
        <v>Bank Transfer</v>
      </c>
      <c r="Z64" t="s">
        <v>23</v>
      </c>
      <c r="AA64" t="str">
        <f t="shared" si="14"/>
        <v>Completed</v>
      </c>
      <c r="AC64" s="8"/>
      <c r="AD64" t="str">
        <f t="shared" si="19"/>
        <v>11/23/2024</v>
      </c>
      <c r="AE64" t="b">
        <f t="shared" si="20"/>
        <v>1</v>
      </c>
    </row>
    <row r="65" spans="1:31" x14ac:dyDescent="0.35">
      <c r="A65" t="s">
        <v>281</v>
      </c>
      <c r="B65" t="s">
        <v>282</v>
      </c>
      <c r="C65" s="1">
        <f t="shared" si="15"/>
        <v>45413</v>
      </c>
      <c r="D65" t="s">
        <v>283</v>
      </c>
      <c r="E65" t="s">
        <v>284</v>
      </c>
      <c r="F65" t="str">
        <f t="shared" si="16"/>
        <v>Margaret Miller</v>
      </c>
      <c r="G65" t="str">
        <f t="shared" si="17"/>
        <v>Margaret</v>
      </c>
      <c r="H65" t="str">
        <f t="shared" si="18"/>
        <v>Miller</v>
      </c>
      <c r="I65" t="s">
        <v>144</v>
      </c>
      <c r="J65" t="str">
        <f t="shared" si="6"/>
        <v>Midlands</v>
      </c>
      <c r="K65" t="s">
        <v>18</v>
      </c>
      <c r="L65" t="str">
        <f t="shared" si="7"/>
        <v>London</v>
      </c>
      <c r="M65" t="s">
        <v>54</v>
      </c>
      <c r="N65" t="str">
        <f t="shared" si="8"/>
        <v>Furniture</v>
      </c>
      <c r="O65" t="s">
        <v>55</v>
      </c>
      <c r="P65" t="str">
        <f t="shared" si="9"/>
        <v>Chair</v>
      </c>
      <c r="Q65" s="5">
        <v>12</v>
      </c>
      <c r="R65">
        <v>1366.37</v>
      </c>
      <c r="S65" s="6">
        <f t="shared" si="10"/>
        <v>1366.37</v>
      </c>
      <c r="T65">
        <v>0.1</v>
      </c>
      <c r="U65" s="2">
        <f t="shared" si="11"/>
        <v>0.1</v>
      </c>
      <c r="V65">
        <v>833.17</v>
      </c>
      <c r="W65" s="2">
        <f t="shared" si="12"/>
        <v>833.17</v>
      </c>
      <c r="X65" t="s">
        <v>22</v>
      </c>
      <c r="Y65" t="str">
        <f t="shared" si="13"/>
        <v>Cash</v>
      </c>
      <c r="Z65" t="s">
        <v>23</v>
      </c>
      <c r="AA65" t="str">
        <f t="shared" si="14"/>
        <v>Completed</v>
      </c>
      <c r="AC65" s="8"/>
      <c r="AD65" t="str">
        <f t="shared" si="19"/>
        <v>01/05/2024</v>
      </c>
      <c r="AE65" t="b">
        <f t="shared" si="20"/>
        <v>0</v>
      </c>
    </row>
    <row r="66" spans="1:31" x14ac:dyDescent="0.35">
      <c r="A66" t="s">
        <v>285</v>
      </c>
      <c r="B66" t="s">
        <v>286</v>
      </c>
      <c r="C66" s="1">
        <f t="shared" ref="C66:C97" si="21" xml:space="preserve"> IF( MID(AD66,5,1) = "/", DATE( LEFT(AD66,4), MID(AD66,6,2), RIGHT(AD66,2)),  IF(VALUE(MID(AD66,FIND("/",AD66)+1,2)) &gt; 12, DATE(RIGHT(AD66,4), LEFT(AD66,2),MID(AD66,4,2) ),DATE( RIGHT(AD66,4), MID(AD66,4,2), LEFT(AD66,2))) )</f>
        <v>45754</v>
      </c>
      <c r="D66" t="s">
        <v>287</v>
      </c>
      <c r="E66" t="s">
        <v>288</v>
      </c>
      <c r="F66" t="str">
        <f t="shared" ref="F66:F97" si="22">TRIM(SUBSTITUTE(SUBSTITUTE(SUBSTITUTE(SUBSTITUTE(SUBSTITUTE(SUBSTITUTE(SUBSTITUTE(SUBSTITUTE(E66,"Dr. ","")," MD","")," PhD","")," DDS","")," DVM",""),"Mr. ",""),"Miss ",""),"Md",""))</f>
        <v>Andrea Robinson</v>
      </c>
      <c r="G66" t="str">
        <f t="shared" ref="G66:G97" si="23">TRIM(PROPER(_xlfn.TEXTBEFORE(F66," ",1)))</f>
        <v>Andrea</v>
      </c>
      <c r="H66" t="str">
        <f t="shared" ref="H66:H97" si="24">PROPER(TRIM(_xlfn.TEXTAFTER(F66," ",-1)))</f>
        <v>Robinson</v>
      </c>
      <c r="I66" t="s">
        <v>40</v>
      </c>
      <c r="J66" t="str">
        <f t="shared" si="6"/>
        <v>North</v>
      </c>
      <c r="K66" t="s">
        <v>18</v>
      </c>
      <c r="L66" t="str">
        <f t="shared" si="7"/>
        <v>London</v>
      </c>
      <c r="M66" t="s">
        <v>112</v>
      </c>
      <c r="N66" t="str">
        <f t="shared" si="8"/>
        <v>Technology</v>
      </c>
      <c r="O66" t="s">
        <v>20</v>
      </c>
      <c r="P66" t="str">
        <f t="shared" si="9"/>
        <v>Laptop</v>
      </c>
      <c r="Q66" s="5">
        <v>13</v>
      </c>
      <c r="R66">
        <v>871.46</v>
      </c>
      <c r="S66" s="6">
        <f t="shared" si="10"/>
        <v>871.46</v>
      </c>
      <c r="T66">
        <v>0.1</v>
      </c>
      <c r="U66" s="2">
        <f t="shared" si="11"/>
        <v>0.1</v>
      </c>
      <c r="V66">
        <v>91.95</v>
      </c>
      <c r="W66" s="2">
        <f t="shared" si="12"/>
        <v>91.95</v>
      </c>
      <c r="X66" t="s">
        <v>22</v>
      </c>
      <c r="Y66" t="str">
        <f t="shared" si="13"/>
        <v>Cash</v>
      </c>
      <c r="Z66" t="s">
        <v>23</v>
      </c>
      <c r="AA66" t="str">
        <f t="shared" si="14"/>
        <v>Completed</v>
      </c>
      <c r="AC66" s="8"/>
      <c r="AD66" t="str">
        <f t="shared" ref="AD66:AD97" si="25">SUBSTITUTE(B66,"-","/")</f>
        <v>2025/04/07</v>
      </c>
      <c r="AE66" t="b">
        <f t="shared" ref="AE66:AE97" si="26">VALUE(MID(AD66,FIND("/",AD66)+1,2)) &gt; 12</f>
        <v>0</v>
      </c>
    </row>
    <row r="67" spans="1:31" x14ac:dyDescent="0.35">
      <c r="A67" t="s">
        <v>289</v>
      </c>
      <c r="B67" t="s">
        <v>290</v>
      </c>
      <c r="C67" s="1">
        <f t="shared" si="21"/>
        <v>45759</v>
      </c>
      <c r="D67" t="s">
        <v>97</v>
      </c>
      <c r="E67" t="s">
        <v>291</v>
      </c>
      <c r="F67" t="str">
        <f t="shared" si="22"/>
        <v>Amy Ward</v>
      </c>
      <c r="G67" t="str">
        <f t="shared" si="23"/>
        <v>Amy</v>
      </c>
      <c r="H67" t="str">
        <f t="shared" si="24"/>
        <v>Ward</v>
      </c>
      <c r="I67" t="s">
        <v>93</v>
      </c>
      <c r="J67" t="str">
        <f t="shared" ref="J67:J130" si="27">PROPER(TRIM(I67))</f>
        <v>North</v>
      </c>
      <c r="K67" t="s">
        <v>103</v>
      </c>
      <c r="L67" t="str">
        <f t="shared" ref="L67:L130" si="28">PROPER(TRIM(K67))</f>
        <v>Norwich</v>
      </c>
      <c r="M67" t="s">
        <v>28</v>
      </c>
      <c r="N67" t="str">
        <f t="shared" ref="N67:N130" si="29">IF(PROPER(TRIM(M67)) = "Tech","Technology", PROPER(TRIM(M67)))</f>
        <v>Office Supplies</v>
      </c>
      <c r="O67" t="s">
        <v>153</v>
      </c>
      <c r="P67" t="str">
        <f t="shared" ref="P67:P130" si="30">PROPER(TRIM(O67))</f>
        <v>Stapler</v>
      </c>
      <c r="Q67" s="5">
        <v>3</v>
      </c>
      <c r="R67">
        <v>1237.9100000000001</v>
      </c>
      <c r="S67" s="6">
        <f t="shared" ref="S67:S130" si="31">IF(R67=" ", 0, R67)</f>
        <v>1237.9100000000001</v>
      </c>
      <c r="T67">
        <v>0.2</v>
      </c>
      <c r="U67" s="2">
        <f t="shared" ref="U67:U130" si="32">VALUE(T67)</f>
        <v>0.2</v>
      </c>
      <c r="V67">
        <v>806.88</v>
      </c>
      <c r="W67" s="2">
        <f t="shared" ref="W67:W130" si="33">ROUND(VALUE(V67),2)</f>
        <v>806.88</v>
      </c>
      <c r="X67" t="s">
        <v>22</v>
      </c>
      <c r="Y67" t="str">
        <f t="shared" ref="Y67:Y130" si="34">PROPER(TRIM(X67))</f>
        <v>Cash</v>
      </c>
      <c r="Z67" t="s">
        <v>23</v>
      </c>
      <c r="AA67" t="str">
        <f t="shared" ref="AA67:AA130" si="35">PROPER(TRIM(Z67))</f>
        <v>Completed</v>
      </c>
      <c r="AC67" s="8"/>
      <c r="AD67" t="str">
        <f t="shared" si="25"/>
        <v>12/04/2025</v>
      </c>
      <c r="AE67" t="b">
        <f t="shared" si="26"/>
        <v>0</v>
      </c>
    </row>
    <row r="68" spans="1:31" x14ac:dyDescent="0.35">
      <c r="A68" t="s">
        <v>292</v>
      </c>
      <c r="B68" t="s">
        <v>293</v>
      </c>
      <c r="C68" s="1">
        <f t="shared" si="21"/>
        <v>45479</v>
      </c>
      <c r="D68" t="s">
        <v>294</v>
      </c>
      <c r="E68" t="s">
        <v>295</v>
      </c>
      <c r="F68" t="str">
        <f t="shared" si="22"/>
        <v>Peter Villa</v>
      </c>
      <c r="G68" t="str">
        <f t="shared" si="23"/>
        <v>Peter</v>
      </c>
      <c r="H68" t="str">
        <f t="shared" si="24"/>
        <v>Villa</v>
      </c>
      <c r="I68" t="s">
        <v>144</v>
      </c>
      <c r="J68" t="str">
        <f t="shared" si="27"/>
        <v>Midlands</v>
      </c>
      <c r="K68" t="s">
        <v>103</v>
      </c>
      <c r="L68" t="str">
        <f t="shared" si="28"/>
        <v>Norwich</v>
      </c>
      <c r="M68" t="s">
        <v>54</v>
      </c>
      <c r="N68" t="str">
        <f t="shared" si="29"/>
        <v>Furniture</v>
      </c>
      <c r="O68" t="s">
        <v>68</v>
      </c>
      <c r="P68" t="str">
        <f t="shared" si="30"/>
        <v>Cabinet</v>
      </c>
      <c r="Q68" s="5">
        <v>-7</v>
      </c>
      <c r="R68">
        <v>807.18</v>
      </c>
      <c r="S68" s="6">
        <f t="shared" si="31"/>
        <v>807.18</v>
      </c>
      <c r="T68">
        <v>0.2</v>
      </c>
      <c r="U68" s="2">
        <f t="shared" si="32"/>
        <v>0.2</v>
      </c>
      <c r="V68">
        <v>673.48</v>
      </c>
      <c r="W68" s="2">
        <f t="shared" si="33"/>
        <v>673.48</v>
      </c>
      <c r="X68" t="s">
        <v>22</v>
      </c>
      <c r="Y68" t="str">
        <f t="shared" si="34"/>
        <v>Cash</v>
      </c>
      <c r="Z68" t="s">
        <v>56</v>
      </c>
      <c r="AA68" t="str">
        <f t="shared" si="35"/>
        <v>Cancelled</v>
      </c>
      <c r="AC68" s="8"/>
      <c r="AD68" t="str">
        <f t="shared" si="25"/>
        <v>06/07/2024</v>
      </c>
      <c r="AE68" t="b">
        <f t="shared" si="26"/>
        <v>0</v>
      </c>
    </row>
    <row r="69" spans="1:31" x14ac:dyDescent="0.35">
      <c r="A69" t="s">
        <v>296</v>
      </c>
      <c r="B69" t="s">
        <v>297</v>
      </c>
      <c r="C69" s="1">
        <f t="shared" si="21"/>
        <v>45760</v>
      </c>
      <c r="D69" t="s">
        <v>298</v>
      </c>
      <c r="E69" t="s">
        <v>299</v>
      </c>
      <c r="F69" t="str">
        <f t="shared" si="22"/>
        <v>Tasha Herman</v>
      </c>
      <c r="G69" t="str">
        <f t="shared" si="23"/>
        <v>Tasha</v>
      </c>
      <c r="H69" t="str">
        <f t="shared" si="24"/>
        <v>Herman</v>
      </c>
      <c r="I69" t="s">
        <v>18</v>
      </c>
      <c r="J69" t="str">
        <f t="shared" si="27"/>
        <v>London</v>
      </c>
      <c r="K69" t="s">
        <v>94</v>
      </c>
      <c r="L69" t="str">
        <f t="shared" si="28"/>
        <v>Birmingham</v>
      </c>
      <c r="M69" t="s">
        <v>19</v>
      </c>
      <c r="N69" t="str">
        <f t="shared" si="29"/>
        <v>Technology</v>
      </c>
      <c r="O69" t="s">
        <v>158</v>
      </c>
      <c r="P69" t="str">
        <f t="shared" si="30"/>
        <v>Keyboard</v>
      </c>
      <c r="Q69" s="5">
        <v>11</v>
      </c>
      <c r="R69">
        <v>1364.53</v>
      </c>
      <c r="S69" s="6">
        <f t="shared" si="31"/>
        <v>1364.53</v>
      </c>
      <c r="T69">
        <v>0.05</v>
      </c>
      <c r="U69" s="2">
        <f t="shared" si="32"/>
        <v>0.05</v>
      </c>
      <c r="V69">
        <v>409.48</v>
      </c>
      <c r="W69" s="2">
        <f t="shared" si="33"/>
        <v>409.48</v>
      </c>
      <c r="X69" t="s">
        <v>49</v>
      </c>
      <c r="Y69" t="str">
        <f t="shared" si="34"/>
        <v>Card</v>
      </c>
      <c r="Z69" t="s">
        <v>23</v>
      </c>
      <c r="AA69" t="str">
        <f t="shared" si="35"/>
        <v>Completed</v>
      </c>
      <c r="AC69" s="8"/>
      <c r="AD69" t="str">
        <f t="shared" si="25"/>
        <v>04/13/2025</v>
      </c>
      <c r="AE69" t="b">
        <f t="shared" si="26"/>
        <v>1</v>
      </c>
    </row>
    <row r="70" spans="1:31" x14ac:dyDescent="0.35">
      <c r="A70" t="s">
        <v>300</v>
      </c>
      <c r="B70" t="s">
        <v>301</v>
      </c>
      <c r="C70" s="1">
        <f t="shared" si="21"/>
        <v>45490</v>
      </c>
      <c r="D70" t="s">
        <v>302</v>
      </c>
      <c r="E70" t="s">
        <v>303</v>
      </c>
      <c r="F70" t="str">
        <f t="shared" si="22"/>
        <v>Diana Williams</v>
      </c>
      <c r="G70" t="str">
        <f t="shared" si="23"/>
        <v>Diana</v>
      </c>
      <c r="H70" t="str">
        <f t="shared" si="24"/>
        <v>Williams</v>
      </c>
      <c r="I70" t="s">
        <v>93</v>
      </c>
      <c r="J70" t="str">
        <f t="shared" si="27"/>
        <v>North</v>
      </c>
      <c r="K70" t="s">
        <v>62</v>
      </c>
      <c r="L70" t="str">
        <f t="shared" si="28"/>
        <v>Leeds</v>
      </c>
      <c r="M70" t="s">
        <v>112</v>
      </c>
      <c r="N70" t="str">
        <f t="shared" si="29"/>
        <v>Technology</v>
      </c>
      <c r="O70" t="s">
        <v>135</v>
      </c>
      <c r="P70" t="str">
        <f t="shared" si="30"/>
        <v>Monitor</v>
      </c>
      <c r="Q70" s="5">
        <v>12</v>
      </c>
      <c r="R70">
        <v>812.59</v>
      </c>
      <c r="S70" s="6">
        <f t="shared" si="31"/>
        <v>812.59</v>
      </c>
      <c r="T70" t="s">
        <v>42</v>
      </c>
      <c r="U70" s="2">
        <f t="shared" si="32"/>
        <v>0.1</v>
      </c>
      <c r="V70">
        <v>727.15</v>
      </c>
      <c r="W70" s="2">
        <f t="shared" si="33"/>
        <v>727.15</v>
      </c>
      <c r="X70" t="s">
        <v>69</v>
      </c>
      <c r="Y70" t="str">
        <f t="shared" si="34"/>
        <v>Paypal</v>
      </c>
      <c r="Z70" t="s">
        <v>23</v>
      </c>
      <c r="AA70" t="str">
        <f t="shared" si="35"/>
        <v>Completed</v>
      </c>
      <c r="AC70" s="8"/>
      <c r="AD70" t="str">
        <f t="shared" si="25"/>
        <v>07/17/2024</v>
      </c>
      <c r="AE70" t="b">
        <f t="shared" si="26"/>
        <v>1</v>
      </c>
    </row>
    <row r="71" spans="1:31" x14ac:dyDescent="0.35">
      <c r="A71" t="s">
        <v>304</v>
      </c>
      <c r="B71" t="s">
        <v>305</v>
      </c>
      <c r="C71" s="1">
        <f t="shared" si="21"/>
        <v>45403</v>
      </c>
      <c r="D71" t="s">
        <v>306</v>
      </c>
      <c r="E71" t="s">
        <v>307</v>
      </c>
      <c r="F71" t="str">
        <f t="shared" si="22"/>
        <v>Donna Allen</v>
      </c>
      <c r="G71" t="str">
        <f t="shared" si="23"/>
        <v>Donna</v>
      </c>
      <c r="H71" t="str">
        <f t="shared" si="24"/>
        <v>Allen</v>
      </c>
      <c r="I71" t="s">
        <v>18</v>
      </c>
      <c r="J71" t="str">
        <f t="shared" si="27"/>
        <v>London</v>
      </c>
      <c r="K71" t="s">
        <v>18</v>
      </c>
      <c r="L71" t="str">
        <f t="shared" si="28"/>
        <v>London</v>
      </c>
      <c r="M71" t="s">
        <v>19</v>
      </c>
      <c r="N71" t="str">
        <f t="shared" si="29"/>
        <v>Technology</v>
      </c>
      <c r="O71" t="s">
        <v>158</v>
      </c>
      <c r="P71" t="str">
        <f t="shared" si="30"/>
        <v>Keyboard</v>
      </c>
      <c r="Q71" s="5">
        <v>14</v>
      </c>
      <c r="R71">
        <v>1471.49</v>
      </c>
      <c r="S71" s="6">
        <f t="shared" si="31"/>
        <v>1471.49</v>
      </c>
      <c r="T71">
        <v>0.2</v>
      </c>
      <c r="U71" s="2">
        <f t="shared" si="32"/>
        <v>0.2</v>
      </c>
      <c r="V71">
        <v>901.89</v>
      </c>
      <c r="W71" s="2">
        <f t="shared" si="33"/>
        <v>901.89</v>
      </c>
      <c r="X71" t="s">
        <v>49</v>
      </c>
      <c r="Y71" t="str">
        <f t="shared" si="34"/>
        <v>Card</v>
      </c>
      <c r="Z71" t="s">
        <v>56</v>
      </c>
      <c r="AA71" t="str">
        <f t="shared" si="35"/>
        <v>Cancelled</v>
      </c>
      <c r="AC71" s="8"/>
      <c r="AD71" t="str">
        <f t="shared" si="25"/>
        <v>04/21/2024</v>
      </c>
      <c r="AE71" t="b">
        <f t="shared" si="26"/>
        <v>1</v>
      </c>
    </row>
    <row r="72" spans="1:31" x14ac:dyDescent="0.35">
      <c r="A72" t="s">
        <v>308</v>
      </c>
      <c r="B72" t="s">
        <v>309</v>
      </c>
      <c r="C72" s="1">
        <f t="shared" si="21"/>
        <v>45620</v>
      </c>
      <c r="D72" t="s">
        <v>310</v>
      </c>
      <c r="E72" t="s">
        <v>311</v>
      </c>
      <c r="F72" t="str">
        <f t="shared" si="22"/>
        <v>Susan Welch</v>
      </c>
      <c r="G72" t="str">
        <f t="shared" si="23"/>
        <v>Susan</v>
      </c>
      <c r="H72" t="str">
        <f t="shared" si="24"/>
        <v>Welch</v>
      </c>
      <c r="I72" t="s">
        <v>83</v>
      </c>
      <c r="J72" t="str">
        <f t="shared" si="27"/>
        <v>South</v>
      </c>
      <c r="K72" t="s">
        <v>18</v>
      </c>
      <c r="L72" t="str">
        <f t="shared" si="28"/>
        <v>London</v>
      </c>
      <c r="M72" t="s">
        <v>19</v>
      </c>
      <c r="N72" t="str">
        <f t="shared" si="29"/>
        <v>Technology</v>
      </c>
      <c r="O72" t="s">
        <v>135</v>
      </c>
      <c r="P72" t="str">
        <f t="shared" si="30"/>
        <v>Monitor</v>
      </c>
      <c r="Q72" s="5">
        <v>1</v>
      </c>
      <c r="R72">
        <v>369.14</v>
      </c>
      <c r="S72" s="6">
        <f t="shared" si="31"/>
        <v>369.14</v>
      </c>
      <c r="T72">
        <v>0</v>
      </c>
      <c r="U72" s="2">
        <f t="shared" si="32"/>
        <v>0</v>
      </c>
      <c r="V72">
        <v>565.45000000000005</v>
      </c>
      <c r="W72" s="2">
        <f t="shared" si="33"/>
        <v>565.45000000000005</v>
      </c>
      <c r="X72" t="s">
        <v>35</v>
      </c>
      <c r="Y72" t="str">
        <f t="shared" si="34"/>
        <v>Bank Transfer</v>
      </c>
      <c r="Z72" t="s">
        <v>23</v>
      </c>
      <c r="AA72" t="str">
        <f t="shared" si="35"/>
        <v>Completed</v>
      </c>
      <c r="AC72" s="8"/>
      <c r="AD72" t="str">
        <f t="shared" si="25"/>
        <v>11/24/2024</v>
      </c>
      <c r="AE72" t="b">
        <f t="shared" si="26"/>
        <v>1</v>
      </c>
    </row>
    <row r="73" spans="1:31" x14ac:dyDescent="0.35">
      <c r="A73" t="s">
        <v>312</v>
      </c>
      <c r="B73" t="s">
        <v>313</v>
      </c>
      <c r="C73" s="1">
        <f t="shared" si="21"/>
        <v>45433</v>
      </c>
      <c r="D73" t="s">
        <v>314</v>
      </c>
      <c r="E73" t="s">
        <v>315</v>
      </c>
      <c r="F73" t="str">
        <f t="shared" si="22"/>
        <v>Xavier Khan</v>
      </c>
      <c r="G73" t="str">
        <f t="shared" si="23"/>
        <v>Xavier</v>
      </c>
      <c r="H73" t="str">
        <f t="shared" si="24"/>
        <v>Khan</v>
      </c>
      <c r="I73" t="s">
        <v>83</v>
      </c>
      <c r="J73" t="str">
        <f t="shared" si="27"/>
        <v>South</v>
      </c>
      <c r="K73" t="s">
        <v>62</v>
      </c>
      <c r="L73" t="str">
        <f t="shared" si="28"/>
        <v>Leeds</v>
      </c>
      <c r="M73" t="s">
        <v>28</v>
      </c>
      <c r="N73" t="str">
        <f t="shared" si="29"/>
        <v>Office Supplies</v>
      </c>
      <c r="O73" t="s">
        <v>29</v>
      </c>
      <c r="P73" t="str">
        <f t="shared" si="30"/>
        <v>Paper</v>
      </c>
      <c r="Q73" s="5">
        <v>3</v>
      </c>
      <c r="R73">
        <v>1198.78</v>
      </c>
      <c r="S73" s="6">
        <f t="shared" si="31"/>
        <v>1198.78</v>
      </c>
      <c r="T73">
        <v>0.05</v>
      </c>
      <c r="U73" s="2">
        <f t="shared" si="32"/>
        <v>0.05</v>
      </c>
      <c r="V73">
        <v>866.71</v>
      </c>
      <c r="W73" s="2">
        <f t="shared" si="33"/>
        <v>866.71</v>
      </c>
      <c r="X73" t="s">
        <v>35</v>
      </c>
      <c r="Y73" t="str">
        <f t="shared" si="34"/>
        <v>Bank Transfer</v>
      </c>
      <c r="Z73" t="s">
        <v>23</v>
      </c>
      <c r="AA73" t="str">
        <f t="shared" si="35"/>
        <v>Completed</v>
      </c>
      <c r="AC73" s="8"/>
      <c r="AD73" t="str">
        <f t="shared" si="25"/>
        <v>2024/05/21</v>
      </c>
      <c r="AE73" t="b">
        <f t="shared" si="26"/>
        <v>0</v>
      </c>
    </row>
    <row r="74" spans="1:31" x14ac:dyDescent="0.35">
      <c r="A74" t="s">
        <v>316</v>
      </c>
      <c r="B74" t="s">
        <v>317</v>
      </c>
      <c r="C74" s="1">
        <f t="shared" si="21"/>
        <v>45318</v>
      </c>
      <c r="D74" t="s">
        <v>204</v>
      </c>
      <c r="E74" t="s">
        <v>318</v>
      </c>
      <c r="F74" t="str">
        <f t="shared" si="22"/>
        <v>Margaret Greene</v>
      </c>
      <c r="G74" t="str">
        <f t="shared" si="23"/>
        <v>Margaret</v>
      </c>
      <c r="H74" t="str">
        <f t="shared" si="24"/>
        <v>Greene</v>
      </c>
      <c r="I74" t="s">
        <v>83</v>
      </c>
      <c r="J74" t="str">
        <f t="shared" si="27"/>
        <v>South</v>
      </c>
      <c r="K74" t="s">
        <v>62</v>
      </c>
      <c r="L74" t="str">
        <f t="shared" si="28"/>
        <v>Leeds</v>
      </c>
      <c r="M74" t="s">
        <v>112</v>
      </c>
      <c r="N74" t="str">
        <f t="shared" si="29"/>
        <v>Technology</v>
      </c>
      <c r="O74" t="s">
        <v>158</v>
      </c>
      <c r="P74" t="str">
        <f t="shared" si="30"/>
        <v>Keyboard</v>
      </c>
      <c r="Q74" s="5">
        <v>7</v>
      </c>
      <c r="R74">
        <v>1119.77</v>
      </c>
      <c r="S74" s="6">
        <f t="shared" si="31"/>
        <v>1119.77</v>
      </c>
      <c r="T74" t="s">
        <v>21</v>
      </c>
      <c r="U74" s="2">
        <f t="shared" si="32"/>
        <v>0.05</v>
      </c>
      <c r="V74">
        <v>778.46</v>
      </c>
      <c r="W74" s="2">
        <f t="shared" si="33"/>
        <v>778.46</v>
      </c>
      <c r="X74" t="s">
        <v>49</v>
      </c>
      <c r="Y74" t="str">
        <f t="shared" si="34"/>
        <v>Card</v>
      </c>
      <c r="Z74" t="s">
        <v>23</v>
      </c>
      <c r="AA74" t="str">
        <f t="shared" si="35"/>
        <v>Completed</v>
      </c>
      <c r="AC74" s="8"/>
      <c r="AD74" t="str">
        <f t="shared" si="25"/>
        <v>27/01/2024</v>
      </c>
      <c r="AE74" t="b">
        <f t="shared" si="26"/>
        <v>0</v>
      </c>
    </row>
    <row r="75" spans="1:31" x14ac:dyDescent="0.35">
      <c r="A75" t="s">
        <v>319</v>
      </c>
      <c r="B75" t="s">
        <v>320</v>
      </c>
      <c r="C75" s="1">
        <f t="shared" si="21"/>
        <v>45785</v>
      </c>
      <c r="D75" t="s">
        <v>86</v>
      </c>
      <c r="E75" t="s">
        <v>321</v>
      </c>
      <c r="F75" t="str">
        <f t="shared" si="22"/>
        <v>Brian Johnson</v>
      </c>
      <c r="G75" t="str">
        <f t="shared" si="23"/>
        <v>Brian</v>
      </c>
      <c r="H75" t="str">
        <f t="shared" si="24"/>
        <v>Johnson</v>
      </c>
      <c r="I75" t="s">
        <v>144</v>
      </c>
      <c r="J75" t="str">
        <f t="shared" si="27"/>
        <v>Midlands</v>
      </c>
      <c r="K75" t="s">
        <v>62</v>
      </c>
      <c r="L75" t="str">
        <f t="shared" si="28"/>
        <v>Leeds</v>
      </c>
      <c r="M75" t="s">
        <v>54</v>
      </c>
      <c r="N75" t="str">
        <f t="shared" si="29"/>
        <v>Furniture</v>
      </c>
      <c r="O75" t="s">
        <v>68</v>
      </c>
      <c r="P75" t="str">
        <f t="shared" si="30"/>
        <v>Cabinet</v>
      </c>
      <c r="Q75" s="5">
        <v>8</v>
      </c>
      <c r="R75">
        <v>642.28</v>
      </c>
      <c r="S75" s="6">
        <f t="shared" si="31"/>
        <v>642.28</v>
      </c>
      <c r="T75" t="s">
        <v>42</v>
      </c>
      <c r="U75" s="2">
        <f t="shared" si="32"/>
        <v>0.1</v>
      </c>
      <c r="V75">
        <v>712.98</v>
      </c>
      <c r="W75" s="2">
        <f t="shared" si="33"/>
        <v>712.98</v>
      </c>
      <c r="X75" t="s">
        <v>22</v>
      </c>
      <c r="Y75" t="str">
        <f t="shared" si="34"/>
        <v>Cash</v>
      </c>
      <c r="Z75" t="s">
        <v>23</v>
      </c>
      <c r="AA75" t="str">
        <f t="shared" si="35"/>
        <v>Completed</v>
      </c>
      <c r="AC75" s="8"/>
      <c r="AD75" t="str">
        <f t="shared" si="25"/>
        <v>08/05/2025</v>
      </c>
      <c r="AE75" t="b">
        <f t="shared" si="26"/>
        <v>0</v>
      </c>
    </row>
    <row r="76" spans="1:31" x14ac:dyDescent="0.35">
      <c r="A76" t="s">
        <v>322</v>
      </c>
      <c r="B76" t="s">
        <v>323</v>
      </c>
      <c r="C76" s="1">
        <f t="shared" si="21"/>
        <v>45611</v>
      </c>
      <c r="D76" t="s">
        <v>119</v>
      </c>
      <c r="E76" t="s">
        <v>324</v>
      </c>
      <c r="F76" t="str">
        <f t="shared" si="22"/>
        <v>Austin Gregory</v>
      </c>
      <c r="G76" t="str">
        <f t="shared" si="23"/>
        <v>Austin</v>
      </c>
      <c r="H76" t="str">
        <f t="shared" si="24"/>
        <v>Gregory</v>
      </c>
      <c r="I76" t="s">
        <v>17</v>
      </c>
      <c r="J76" t="str">
        <f t="shared" si="27"/>
        <v>West</v>
      </c>
      <c r="K76" t="s">
        <v>34</v>
      </c>
      <c r="L76" t="str">
        <f t="shared" si="28"/>
        <v>Bristol</v>
      </c>
      <c r="M76" t="s">
        <v>112</v>
      </c>
      <c r="N76" t="str">
        <f t="shared" si="29"/>
        <v>Technology</v>
      </c>
      <c r="O76" t="s">
        <v>158</v>
      </c>
      <c r="P76" t="str">
        <f t="shared" si="30"/>
        <v>Keyboard</v>
      </c>
      <c r="Q76" s="5">
        <v>6</v>
      </c>
      <c r="R76">
        <v>898.1</v>
      </c>
      <c r="S76" s="6">
        <f t="shared" si="31"/>
        <v>898.1</v>
      </c>
      <c r="T76" t="s">
        <v>42</v>
      </c>
      <c r="U76" s="2">
        <f t="shared" si="32"/>
        <v>0.1</v>
      </c>
      <c r="V76">
        <v>506.54</v>
      </c>
      <c r="W76" s="2">
        <f t="shared" si="33"/>
        <v>506.54</v>
      </c>
      <c r="X76" t="s">
        <v>22</v>
      </c>
      <c r="Y76" t="str">
        <f t="shared" si="34"/>
        <v>Cash</v>
      </c>
      <c r="Z76" t="s">
        <v>56</v>
      </c>
      <c r="AA76" t="str">
        <f t="shared" si="35"/>
        <v>Cancelled</v>
      </c>
      <c r="AC76" s="8"/>
      <c r="AD76" t="str">
        <f t="shared" si="25"/>
        <v>11/15/2024</v>
      </c>
      <c r="AE76" t="b">
        <f t="shared" si="26"/>
        <v>1</v>
      </c>
    </row>
    <row r="77" spans="1:31" x14ac:dyDescent="0.35">
      <c r="A77" t="s">
        <v>325</v>
      </c>
      <c r="B77" t="s">
        <v>326</v>
      </c>
      <c r="C77" s="1">
        <f t="shared" si="21"/>
        <v>45503</v>
      </c>
      <c r="D77" t="s">
        <v>327</v>
      </c>
      <c r="E77" t="s">
        <v>328</v>
      </c>
      <c r="F77" t="str">
        <f t="shared" si="22"/>
        <v>Barbara Gomez</v>
      </c>
      <c r="G77" t="str">
        <f t="shared" si="23"/>
        <v>Barbara</v>
      </c>
      <c r="H77" t="str">
        <f t="shared" si="24"/>
        <v>Gomez</v>
      </c>
      <c r="I77" t="s">
        <v>17</v>
      </c>
      <c r="J77" t="str">
        <f t="shared" si="27"/>
        <v>West</v>
      </c>
      <c r="K77" t="s">
        <v>103</v>
      </c>
      <c r="L77" t="str">
        <f t="shared" si="28"/>
        <v>Norwich</v>
      </c>
      <c r="M77" t="s">
        <v>54</v>
      </c>
      <c r="N77" t="str">
        <f t="shared" si="29"/>
        <v>Furniture</v>
      </c>
      <c r="O77" t="s">
        <v>74</v>
      </c>
      <c r="P77" t="str">
        <f t="shared" si="30"/>
        <v>Desk</v>
      </c>
      <c r="Q77" s="5">
        <v>7</v>
      </c>
      <c r="R77">
        <v>472.26</v>
      </c>
      <c r="S77" s="6">
        <f t="shared" si="31"/>
        <v>472.26</v>
      </c>
      <c r="T77">
        <v>0.05</v>
      </c>
      <c r="U77" s="2">
        <f t="shared" si="32"/>
        <v>0.05</v>
      </c>
      <c r="V77">
        <v>256.38</v>
      </c>
      <c r="W77" s="2">
        <f t="shared" si="33"/>
        <v>256.38</v>
      </c>
      <c r="X77" t="s">
        <v>49</v>
      </c>
      <c r="Y77" t="str">
        <f t="shared" si="34"/>
        <v>Card</v>
      </c>
      <c r="Z77" t="s">
        <v>23</v>
      </c>
      <c r="AA77" t="str">
        <f t="shared" si="35"/>
        <v>Completed</v>
      </c>
      <c r="AC77" s="8"/>
      <c r="AD77" t="str">
        <f t="shared" si="25"/>
        <v>2024/07/30</v>
      </c>
      <c r="AE77" t="b">
        <f t="shared" si="26"/>
        <v>0</v>
      </c>
    </row>
    <row r="78" spans="1:31" x14ac:dyDescent="0.35">
      <c r="A78" t="s">
        <v>329</v>
      </c>
      <c r="B78" t="s">
        <v>330</v>
      </c>
      <c r="C78" s="1">
        <f t="shared" si="21"/>
        <v>45673</v>
      </c>
      <c r="D78" t="s">
        <v>306</v>
      </c>
      <c r="E78" t="s">
        <v>331</v>
      </c>
      <c r="F78" t="str">
        <f t="shared" si="22"/>
        <v>Michelle Rodriguez</v>
      </c>
      <c r="G78" t="str">
        <f t="shared" si="23"/>
        <v>Michelle</v>
      </c>
      <c r="H78" t="str">
        <f t="shared" si="24"/>
        <v>Rodriguez</v>
      </c>
      <c r="I78" t="s">
        <v>61</v>
      </c>
      <c r="J78" t="str">
        <f t="shared" si="27"/>
        <v>East</v>
      </c>
      <c r="K78" t="s">
        <v>34</v>
      </c>
      <c r="L78" t="str">
        <f t="shared" si="28"/>
        <v>Bristol</v>
      </c>
      <c r="M78" t="s">
        <v>54</v>
      </c>
      <c r="N78" t="str">
        <f t="shared" si="29"/>
        <v>Furniture</v>
      </c>
      <c r="O78" t="s">
        <v>74</v>
      </c>
      <c r="P78" t="str">
        <f t="shared" si="30"/>
        <v>Desk</v>
      </c>
      <c r="Q78" s="5">
        <v>9</v>
      </c>
      <c r="R78">
        <v>1435.15</v>
      </c>
      <c r="S78" s="6">
        <f t="shared" si="31"/>
        <v>1435.15</v>
      </c>
      <c r="T78" t="s">
        <v>42</v>
      </c>
      <c r="U78" s="2">
        <f t="shared" si="32"/>
        <v>0.1</v>
      </c>
      <c r="V78">
        <v>670.67</v>
      </c>
      <c r="W78" s="2">
        <f t="shared" si="33"/>
        <v>670.67</v>
      </c>
      <c r="X78" t="s">
        <v>49</v>
      </c>
      <c r="Y78" t="str">
        <f t="shared" si="34"/>
        <v>Card</v>
      </c>
      <c r="Z78" t="s">
        <v>23</v>
      </c>
      <c r="AA78" t="str">
        <f t="shared" si="35"/>
        <v>Completed</v>
      </c>
      <c r="AC78" s="8"/>
      <c r="AD78" t="str">
        <f t="shared" si="25"/>
        <v>01/16/2025</v>
      </c>
      <c r="AE78" t="b">
        <f t="shared" si="26"/>
        <v>1</v>
      </c>
    </row>
    <row r="79" spans="1:31" x14ac:dyDescent="0.35">
      <c r="A79" t="s">
        <v>332</v>
      </c>
      <c r="B79" t="s">
        <v>333</v>
      </c>
      <c r="C79" s="1">
        <f t="shared" si="21"/>
        <v>45472</v>
      </c>
      <c r="D79" t="s">
        <v>334</v>
      </c>
      <c r="E79" t="s">
        <v>335</v>
      </c>
      <c r="F79" t="str">
        <f t="shared" si="22"/>
        <v>Ashley Porter</v>
      </c>
      <c r="G79" t="str">
        <f t="shared" si="23"/>
        <v>Ashley</v>
      </c>
      <c r="H79" t="str">
        <f t="shared" si="24"/>
        <v>Porter</v>
      </c>
      <c r="I79" t="s">
        <v>18</v>
      </c>
      <c r="J79" t="str">
        <f t="shared" si="27"/>
        <v>London</v>
      </c>
      <c r="K79" t="s">
        <v>62</v>
      </c>
      <c r="L79" t="str">
        <f t="shared" si="28"/>
        <v>Leeds</v>
      </c>
      <c r="M79" t="s">
        <v>28</v>
      </c>
      <c r="N79" t="str">
        <f t="shared" si="29"/>
        <v>Office Supplies</v>
      </c>
      <c r="O79" t="s">
        <v>63</v>
      </c>
      <c r="P79" t="str">
        <f t="shared" si="30"/>
        <v>Pen</v>
      </c>
      <c r="Q79" s="5">
        <v>9</v>
      </c>
      <c r="R79">
        <v>986.82</v>
      </c>
      <c r="S79" s="6">
        <f t="shared" si="31"/>
        <v>986.82</v>
      </c>
      <c r="T79" t="s">
        <v>21</v>
      </c>
      <c r="U79" s="2">
        <f t="shared" si="32"/>
        <v>0.05</v>
      </c>
      <c r="V79">
        <v>110</v>
      </c>
      <c r="W79" s="2">
        <f t="shared" si="33"/>
        <v>110</v>
      </c>
      <c r="X79" t="s">
        <v>22</v>
      </c>
      <c r="Y79" t="str">
        <f t="shared" si="34"/>
        <v>Cash</v>
      </c>
      <c r="Z79" t="s">
        <v>56</v>
      </c>
      <c r="AA79" t="str">
        <f t="shared" si="35"/>
        <v>Cancelled</v>
      </c>
      <c r="AC79" s="8"/>
      <c r="AD79" t="str">
        <f t="shared" si="25"/>
        <v>29/06/2024</v>
      </c>
      <c r="AE79" t="b">
        <f t="shared" si="26"/>
        <v>0</v>
      </c>
    </row>
    <row r="80" spans="1:31" x14ac:dyDescent="0.35">
      <c r="A80" t="s">
        <v>336</v>
      </c>
      <c r="B80" t="s">
        <v>337</v>
      </c>
      <c r="C80" s="1">
        <f t="shared" si="21"/>
        <v>45576</v>
      </c>
      <c r="D80" t="s">
        <v>310</v>
      </c>
      <c r="E80" t="s">
        <v>338</v>
      </c>
      <c r="F80" t="str">
        <f t="shared" si="22"/>
        <v>Ashley Jones</v>
      </c>
      <c r="G80" t="str">
        <f t="shared" si="23"/>
        <v>Ashley</v>
      </c>
      <c r="H80" t="str">
        <f t="shared" si="24"/>
        <v>Jones</v>
      </c>
      <c r="I80" t="s">
        <v>144</v>
      </c>
      <c r="J80" t="str">
        <f t="shared" si="27"/>
        <v>Midlands</v>
      </c>
      <c r="K80" t="s">
        <v>41</v>
      </c>
      <c r="L80" t="str">
        <f t="shared" si="28"/>
        <v>Manchester</v>
      </c>
      <c r="M80" t="s">
        <v>28</v>
      </c>
      <c r="N80" t="str">
        <f t="shared" si="29"/>
        <v>Office Supplies</v>
      </c>
      <c r="O80" t="s">
        <v>153</v>
      </c>
      <c r="P80" t="str">
        <f t="shared" si="30"/>
        <v>Stapler</v>
      </c>
      <c r="Q80" s="5">
        <v>10</v>
      </c>
      <c r="R80">
        <v>1245.04</v>
      </c>
      <c r="S80" s="6">
        <f t="shared" si="31"/>
        <v>1245.04</v>
      </c>
      <c r="T80">
        <v>0.2</v>
      </c>
      <c r="U80" s="2">
        <f t="shared" si="32"/>
        <v>0.2</v>
      </c>
      <c r="V80">
        <v>182.06</v>
      </c>
      <c r="W80" s="2">
        <f t="shared" si="33"/>
        <v>182.06</v>
      </c>
      <c r="X80" t="s">
        <v>49</v>
      </c>
      <c r="Y80" t="str">
        <f t="shared" si="34"/>
        <v>Card</v>
      </c>
      <c r="Z80" t="s">
        <v>23</v>
      </c>
      <c r="AA80" t="str">
        <f t="shared" si="35"/>
        <v>Completed</v>
      </c>
      <c r="AC80" s="8"/>
      <c r="AD80" t="str">
        <f t="shared" si="25"/>
        <v>11/10/2024</v>
      </c>
      <c r="AE80" t="b">
        <f t="shared" si="26"/>
        <v>0</v>
      </c>
    </row>
    <row r="81" spans="1:31" x14ac:dyDescent="0.35">
      <c r="A81" t="s">
        <v>339</v>
      </c>
      <c r="B81" t="s">
        <v>340</v>
      </c>
      <c r="C81" s="1">
        <f t="shared" si="21"/>
        <v>45327</v>
      </c>
      <c r="D81" t="s">
        <v>97</v>
      </c>
      <c r="E81" t="s">
        <v>341</v>
      </c>
      <c r="F81" t="str">
        <f t="shared" si="22"/>
        <v>Cassie Chang</v>
      </c>
      <c r="G81" t="str">
        <f t="shared" si="23"/>
        <v>Cassie</v>
      </c>
      <c r="H81" t="str">
        <f t="shared" si="24"/>
        <v>Chang</v>
      </c>
      <c r="I81" t="s">
        <v>18</v>
      </c>
      <c r="J81" t="str">
        <f t="shared" si="27"/>
        <v>London</v>
      </c>
      <c r="K81" t="s">
        <v>34</v>
      </c>
      <c r="L81" t="str">
        <f t="shared" si="28"/>
        <v>Bristol</v>
      </c>
      <c r="M81" t="s">
        <v>112</v>
      </c>
      <c r="N81" t="str">
        <f t="shared" si="29"/>
        <v>Technology</v>
      </c>
      <c r="O81" t="s">
        <v>88</v>
      </c>
      <c r="P81" t="str">
        <f t="shared" si="30"/>
        <v>Mouse</v>
      </c>
      <c r="Q81" s="5">
        <v>11</v>
      </c>
      <c r="R81">
        <v>142.18</v>
      </c>
      <c r="S81" s="6">
        <f t="shared" si="31"/>
        <v>142.18</v>
      </c>
      <c r="T81" t="s">
        <v>42</v>
      </c>
      <c r="U81" s="2">
        <f t="shared" si="32"/>
        <v>0.1</v>
      </c>
      <c r="V81">
        <v>377.44</v>
      </c>
      <c r="W81" s="2">
        <f t="shared" si="33"/>
        <v>377.44</v>
      </c>
      <c r="X81" t="s">
        <v>35</v>
      </c>
      <c r="Y81" t="str">
        <f t="shared" si="34"/>
        <v>Bank Transfer</v>
      </c>
      <c r="Z81" t="s">
        <v>23</v>
      </c>
      <c r="AA81" t="str">
        <f t="shared" si="35"/>
        <v>Completed</v>
      </c>
      <c r="AC81" s="8"/>
      <c r="AD81" t="str">
        <f t="shared" si="25"/>
        <v>05/02/2024</v>
      </c>
      <c r="AE81" t="b">
        <f t="shared" si="26"/>
        <v>0</v>
      </c>
    </row>
    <row r="82" spans="1:31" x14ac:dyDescent="0.35">
      <c r="A82" t="s">
        <v>342</v>
      </c>
      <c r="B82" t="s">
        <v>343</v>
      </c>
      <c r="C82" s="1">
        <f t="shared" si="21"/>
        <v>45372</v>
      </c>
      <c r="D82" t="s">
        <v>344</v>
      </c>
      <c r="E82" t="s">
        <v>345</v>
      </c>
      <c r="F82" t="str">
        <f t="shared" si="22"/>
        <v>Patrick Marks</v>
      </c>
      <c r="G82" t="str">
        <f t="shared" si="23"/>
        <v>Patrick</v>
      </c>
      <c r="H82" t="str">
        <f t="shared" si="24"/>
        <v>Marks</v>
      </c>
      <c r="I82" t="s">
        <v>17</v>
      </c>
      <c r="J82" t="str">
        <f t="shared" si="27"/>
        <v>West</v>
      </c>
      <c r="K82" t="s">
        <v>41</v>
      </c>
      <c r="L82" t="str">
        <f t="shared" si="28"/>
        <v>Manchester</v>
      </c>
      <c r="M82" t="s">
        <v>19</v>
      </c>
      <c r="N82" t="str">
        <f t="shared" si="29"/>
        <v>Technology</v>
      </c>
      <c r="O82" t="s">
        <v>135</v>
      </c>
      <c r="P82" t="str">
        <f t="shared" si="30"/>
        <v>Monitor</v>
      </c>
      <c r="Q82" s="5">
        <v>2</v>
      </c>
      <c r="R82">
        <v>994.6</v>
      </c>
      <c r="S82" s="6">
        <f t="shared" si="31"/>
        <v>994.6</v>
      </c>
      <c r="T82">
        <v>0.1</v>
      </c>
      <c r="U82" s="2">
        <f t="shared" si="32"/>
        <v>0.1</v>
      </c>
      <c r="V82">
        <v>443.16</v>
      </c>
      <c r="W82" s="2">
        <f t="shared" si="33"/>
        <v>443.16</v>
      </c>
      <c r="X82" t="s">
        <v>69</v>
      </c>
      <c r="Y82" t="str">
        <f t="shared" si="34"/>
        <v>Paypal</v>
      </c>
      <c r="Z82" t="s">
        <v>23</v>
      </c>
      <c r="AA82" t="str">
        <f t="shared" si="35"/>
        <v>Completed</v>
      </c>
      <c r="AC82" s="8"/>
      <c r="AD82" t="str">
        <f t="shared" si="25"/>
        <v>2024/03/21</v>
      </c>
      <c r="AE82" t="b">
        <f t="shared" si="26"/>
        <v>0</v>
      </c>
    </row>
    <row r="83" spans="1:31" x14ac:dyDescent="0.35">
      <c r="A83" t="s">
        <v>346</v>
      </c>
      <c r="B83" t="s">
        <v>266</v>
      </c>
      <c r="C83" s="1">
        <f t="shared" si="21"/>
        <v>45561</v>
      </c>
      <c r="D83" t="s">
        <v>310</v>
      </c>
      <c r="E83" t="s">
        <v>347</v>
      </c>
      <c r="F83" t="str">
        <f t="shared" si="22"/>
        <v>Renee Marshall</v>
      </c>
      <c r="G83" t="str">
        <f t="shared" si="23"/>
        <v>Renee</v>
      </c>
      <c r="H83" t="str">
        <f t="shared" si="24"/>
        <v>Marshall</v>
      </c>
      <c r="I83" t="s">
        <v>144</v>
      </c>
      <c r="J83" t="str">
        <f t="shared" si="27"/>
        <v>Midlands</v>
      </c>
      <c r="K83" t="s">
        <v>103</v>
      </c>
      <c r="L83" t="str">
        <f t="shared" si="28"/>
        <v>Norwich</v>
      </c>
      <c r="M83" t="s">
        <v>48</v>
      </c>
      <c r="N83" t="str">
        <f t="shared" si="29"/>
        <v>Technology</v>
      </c>
      <c r="O83" t="s">
        <v>88</v>
      </c>
      <c r="P83" t="str">
        <f t="shared" si="30"/>
        <v>Mouse</v>
      </c>
      <c r="Q83" s="5">
        <v>7</v>
      </c>
      <c r="R83">
        <v>86.9</v>
      </c>
      <c r="S83" s="6">
        <f t="shared" si="31"/>
        <v>86.9</v>
      </c>
      <c r="T83">
        <v>0.05</v>
      </c>
      <c r="U83" s="2">
        <f t="shared" si="32"/>
        <v>0.05</v>
      </c>
      <c r="V83">
        <v>945.43</v>
      </c>
      <c r="W83" s="2">
        <f t="shared" si="33"/>
        <v>945.43</v>
      </c>
      <c r="X83" t="s">
        <v>49</v>
      </c>
      <c r="Y83" t="str">
        <f t="shared" si="34"/>
        <v>Card</v>
      </c>
      <c r="Z83" t="s">
        <v>56</v>
      </c>
      <c r="AA83" t="str">
        <f t="shared" si="35"/>
        <v>Cancelled</v>
      </c>
      <c r="AC83" s="8"/>
      <c r="AD83" t="str">
        <f t="shared" si="25"/>
        <v>2024/09/26</v>
      </c>
      <c r="AE83" t="b">
        <f t="shared" si="26"/>
        <v>0</v>
      </c>
    </row>
    <row r="84" spans="1:31" x14ac:dyDescent="0.35">
      <c r="A84" t="s">
        <v>348</v>
      </c>
      <c r="B84" t="s">
        <v>349</v>
      </c>
      <c r="C84" s="1">
        <f t="shared" si="21"/>
        <v>45476</v>
      </c>
      <c r="D84" t="s">
        <v>298</v>
      </c>
      <c r="E84" t="s">
        <v>350</v>
      </c>
      <c r="F84" t="str">
        <f t="shared" si="22"/>
        <v>Christopher Johnson</v>
      </c>
      <c r="G84" t="str">
        <f t="shared" si="23"/>
        <v>Christopher</v>
      </c>
      <c r="H84" t="str">
        <f t="shared" si="24"/>
        <v>Johnson</v>
      </c>
      <c r="I84" t="s">
        <v>93</v>
      </c>
      <c r="J84" t="str">
        <f t="shared" si="27"/>
        <v>North</v>
      </c>
      <c r="K84" t="s">
        <v>103</v>
      </c>
      <c r="L84" t="str">
        <f t="shared" si="28"/>
        <v>Norwich</v>
      </c>
      <c r="M84" t="s">
        <v>54</v>
      </c>
      <c r="N84" t="str">
        <f t="shared" si="29"/>
        <v>Furniture</v>
      </c>
      <c r="O84" t="s">
        <v>74</v>
      </c>
      <c r="P84" t="str">
        <f t="shared" si="30"/>
        <v>Desk</v>
      </c>
      <c r="Q84" s="5">
        <v>9</v>
      </c>
      <c r="R84">
        <v>1003.73</v>
      </c>
      <c r="S84" s="6">
        <f t="shared" si="31"/>
        <v>1003.73</v>
      </c>
      <c r="T84">
        <v>0.2</v>
      </c>
      <c r="U84" s="2">
        <f t="shared" si="32"/>
        <v>0.2</v>
      </c>
      <c r="V84">
        <v>398.28</v>
      </c>
      <c r="W84" s="2">
        <f t="shared" si="33"/>
        <v>398.28</v>
      </c>
      <c r="X84" t="s">
        <v>35</v>
      </c>
      <c r="Y84" t="str">
        <f t="shared" si="34"/>
        <v>Bank Transfer</v>
      </c>
      <c r="Z84" t="s">
        <v>56</v>
      </c>
      <c r="AA84" t="str">
        <f t="shared" si="35"/>
        <v>Cancelled</v>
      </c>
      <c r="AC84" s="8"/>
      <c r="AD84" t="str">
        <f t="shared" si="25"/>
        <v>03/07/2024</v>
      </c>
      <c r="AE84" t="b">
        <f t="shared" si="26"/>
        <v>0</v>
      </c>
    </row>
    <row r="85" spans="1:31" x14ac:dyDescent="0.35">
      <c r="A85" t="s">
        <v>351</v>
      </c>
      <c r="B85" t="s">
        <v>352</v>
      </c>
      <c r="C85" s="1">
        <f t="shared" si="21"/>
        <v>45655</v>
      </c>
      <c r="D85" t="s">
        <v>353</v>
      </c>
      <c r="E85" t="s">
        <v>354</v>
      </c>
      <c r="F85" t="str">
        <f t="shared" si="22"/>
        <v>Phyllis Porter</v>
      </c>
      <c r="G85" t="str">
        <f t="shared" si="23"/>
        <v>Phyllis</v>
      </c>
      <c r="H85" t="str">
        <f t="shared" si="24"/>
        <v>Porter</v>
      </c>
      <c r="I85" t="s">
        <v>17</v>
      </c>
      <c r="J85" t="str">
        <f t="shared" si="27"/>
        <v>West</v>
      </c>
      <c r="K85" t="s">
        <v>18</v>
      </c>
      <c r="L85" t="str">
        <f t="shared" si="28"/>
        <v>London</v>
      </c>
      <c r="M85" t="s">
        <v>28</v>
      </c>
      <c r="N85" t="str">
        <f t="shared" si="29"/>
        <v>Office Supplies</v>
      </c>
      <c r="O85" t="s">
        <v>63</v>
      </c>
      <c r="P85" t="str">
        <f t="shared" si="30"/>
        <v>Pen</v>
      </c>
      <c r="Q85" s="5">
        <v>-7</v>
      </c>
      <c r="R85">
        <v>490.53</v>
      </c>
      <c r="S85" s="6">
        <f t="shared" si="31"/>
        <v>490.53</v>
      </c>
      <c r="T85">
        <v>0.2</v>
      </c>
      <c r="U85" s="2">
        <f t="shared" si="32"/>
        <v>0.2</v>
      </c>
      <c r="V85">
        <v>618.89</v>
      </c>
      <c r="W85" s="2">
        <f t="shared" si="33"/>
        <v>618.89</v>
      </c>
      <c r="X85" t="s">
        <v>69</v>
      </c>
      <c r="Y85" t="str">
        <f t="shared" si="34"/>
        <v>Paypal</v>
      </c>
      <c r="Z85" t="s">
        <v>56</v>
      </c>
      <c r="AA85" t="str">
        <f t="shared" si="35"/>
        <v>Cancelled</v>
      </c>
      <c r="AC85" s="8"/>
      <c r="AD85" t="str">
        <f t="shared" si="25"/>
        <v>2024/12/29</v>
      </c>
      <c r="AE85" t="b">
        <f t="shared" si="26"/>
        <v>0</v>
      </c>
    </row>
    <row r="86" spans="1:31" x14ac:dyDescent="0.35">
      <c r="A86" t="s">
        <v>355</v>
      </c>
      <c r="B86" t="s">
        <v>356</v>
      </c>
      <c r="C86" s="1">
        <f t="shared" si="21"/>
        <v>45494</v>
      </c>
      <c r="D86" t="s">
        <v>215</v>
      </c>
      <c r="E86" t="s">
        <v>357</v>
      </c>
      <c r="F86" t="str">
        <f t="shared" si="22"/>
        <v>Erica Gibson</v>
      </c>
      <c r="G86" t="str">
        <f t="shared" si="23"/>
        <v>Erica</v>
      </c>
      <c r="H86" t="str">
        <f t="shared" si="24"/>
        <v>Gibson</v>
      </c>
      <c r="I86" t="s">
        <v>144</v>
      </c>
      <c r="J86" t="str">
        <f t="shared" si="27"/>
        <v>Midlands</v>
      </c>
      <c r="K86" t="s">
        <v>41</v>
      </c>
      <c r="L86" t="str">
        <f t="shared" si="28"/>
        <v>Manchester</v>
      </c>
      <c r="M86" t="s">
        <v>28</v>
      </c>
      <c r="N86" t="str">
        <f t="shared" si="29"/>
        <v>Office Supplies</v>
      </c>
      <c r="O86" t="s">
        <v>29</v>
      </c>
      <c r="P86" t="str">
        <f t="shared" si="30"/>
        <v>Paper</v>
      </c>
      <c r="Q86" s="5">
        <v>4</v>
      </c>
      <c r="R86">
        <v>256.36</v>
      </c>
      <c r="S86" s="6">
        <f t="shared" si="31"/>
        <v>256.36</v>
      </c>
      <c r="T86" t="s">
        <v>21</v>
      </c>
      <c r="U86" s="2">
        <f t="shared" si="32"/>
        <v>0.05</v>
      </c>
      <c r="V86">
        <v>115.8</v>
      </c>
      <c r="W86" s="2">
        <f t="shared" si="33"/>
        <v>115.8</v>
      </c>
      <c r="X86" t="s">
        <v>22</v>
      </c>
      <c r="Y86" t="str">
        <f t="shared" si="34"/>
        <v>Cash</v>
      </c>
      <c r="Z86" t="s">
        <v>23</v>
      </c>
      <c r="AA86" t="str">
        <f t="shared" si="35"/>
        <v>Completed</v>
      </c>
      <c r="AC86" s="8"/>
      <c r="AD86" t="str">
        <f t="shared" si="25"/>
        <v>07/21/2024</v>
      </c>
      <c r="AE86" t="b">
        <f t="shared" si="26"/>
        <v>1</v>
      </c>
    </row>
    <row r="87" spans="1:31" x14ac:dyDescent="0.35">
      <c r="A87" t="s">
        <v>358</v>
      </c>
      <c r="B87" t="s">
        <v>359</v>
      </c>
      <c r="C87" s="1">
        <f t="shared" si="21"/>
        <v>45423</v>
      </c>
      <c r="D87" t="s">
        <v>263</v>
      </c>
      <c r="E87" t="s">
        <v>360</v>
      </c>
      <c r="F87" t="str">
        <f t="shared" si="22"/>
        <v>Carol Moreno</v>
      </c>
      <c r="G87" t="str">
        <f t="shared" si="23"/>
        <v>Carol</v>
      </c>
      <c r="H87" t="str">
        <f t="shared" si="24"/>
        <v>Moreno</v>
      </c>
      <c r="I87" t="s">
        <v>93</v>
      </c>
      <c r="J87" t="str">
        <f t="shared" si="27"/>
        <v>North</v>
      </c>
      <c r="K87" t="s">
        <v>34</v>
      </c>
      <c r="L87" t="str">
        <f t="shared" si="28"/>
        <v>Bristol</v>
      </c>
      <c r="M87" t="s">
        <v>19</v>
      </c>
      <c r="N87" t="str">
        <f t="shared" si="29"/>
        <v>Technology</v>
      </c>
      <c r="O87" t="s">
        <v>135</v>
      </c>
      <c r="P87" t="str">
        <f t="shared" si="30"/>
        <v>Monitor</v>
      </c>
      <c r="Q87" s="5">
        <v>10</v>
      </c>
      <c r="R87">
        <v>1139.93</v>
      </c>
      <c r="S87" s="6">
        <f t="shared" si="31"/>
        <v>1139.93</v>
      </c>
      <c r="T87">
        <v>0.2</v>
      </c>
      <c r="U87" s="2">
        <f t="shared" si="32"/>
        <v>0.2</v>
      </c>
      <c r="V87">
        <v>951.39</v>
      </c>
      <c r="W87" s="2">
        <f t="shared" si="33"/>
        <v>951.39</v>
      </c>
      <c r="X87" t="s">
        <v>35</v>
      </c>
      <c r="Y87" t="str">
        <f t="shared" si="34"/>
        <v>Bank Transfer</v>
      </c>
      <c r="Z87" t="s">
        <v>23</v>
      </c>
      <c r="AA87" t="str">
        <f t="shared" si="35"/>
        <v>Completed</v>
      </c>
      <c r="AC87" s="8"/>
      <c r="AD87" t="str">
        <f t="shared" si="25"/>
        <v>11/05/2024</v>
      </c>
      <c r="AE87" t="b">
        <f t="shared" si="26"/>
        <v>0</v>
      </c>
    </row>
    <row r="88" spans="1:31" x14ac:dyDescent="0.35">
      <c r="A88" t="s">
        <v>361</v>
      </c>
      <c r="B88" t="s">
        <v>362</v>
      </c>
      <c r="C88" s="1">
        <f t="shared" si="21"/>
        <v>45384</v>
      </c>
      <c r="D88" t="s">
        <v>147</v>
      </c>
      <c r="E88" t="s">
        <v>363</v>
      </c>
      <c r="F88" t="str">
        <f t="shared" si="22"/>
        <v>Leslie Benson</v>
      </c>
      <c r="G88" t="str">
        <f t="shared" si="23"/>
        <v>Leslie</v>
      </c>
      <c r="H88" t="str">
        <f t="shared" si="24"/>
        <v>Benson</v>
      </c>
      <c r="I88" t="s">
        <v>18</v>
      </c>
      <c r="J88" t="str">
        <f t="shared" si="27"/>
        <v>London</v>
      </c>
      <c r="K88" t="s">
        <v>103</v>
      </c>
      <c r="L88" t="str">
        <f t="shared" si="28"/>
        <v>Norwich</v>
      </c>
      <c r="M88" t="s">
        <v>112</v>
      </c>
      <c r="N88" t="str">
        <f t="shared" si="29"/>
        <v>Technology</v>
      </c>
      <c r="O88" t="s">
        <v>88</v>
      </c>
      <c r="P88" t="str">
        <f t="shared" si="30"/>
        <v>Mouse</v>
      </c>
      <c r="Q88" s="5">
        <v>13</v>
      </c>
      <c r="R88">
        <v>88.98</v>
      </c>
      <c r="S88" s="6">
        <f t="shared" si="31"/>
        <v>88.98</v>
      </c>
      <c r="T88" t="s">
        <v>42</v>
      </c>
      <c r="U88" s="2">
        <f t="shared" si="32"/>
        <v>0.1</v>
      </c>
      <c r="V88">
        <v>311.79000000000002</v>
      </c>
      <c r="W88" s="2">
        <f t="shared" si="33"/>
        <v>311.79000000000002</v>
      </c>
      <c r="X88" t="s">
        <v>49</v>
      </c>
      <c r="Y88" t="str">
        <f t="shared" si="34"/>
        <v>Card</v>
      </c>
      <c r="Z88" t="s">
        <v>56</v>
      </c>
      <c r="AA88" t="str">
        <f t="shared" si="35"/>
        <v>Cancelled</v>
      </c>
      <c r="AC88" s="8"/>
      <c r="AD88" t="str">
        <f t="shared" si="25"/>
        <v>02/04/2024</v>
      </c>
      <c r="AE88" t="b">
        <f t="shared" si="26"/>
        <v>0</v>
      </c>
    </row>
    <row r="89" spans="1:31" x14ac:dyDescent="0.35">
      <c r="A89" t="s">
        <v>364</v>
      </c>
      <c r="B89" t="s">
        <v>365</v>
      </c>
      <c r="C89" s="1">
        <f t="shared" si="21"/>
        <v>45575</v>
      </c>
      <c r="D89" t="s">
        <v>72</v>
      </c>
      <c r="E89" t="s">
        <v>366</v>
      </c>
      <c r="F89" t="str">
        <f t="shared" si="22"/>
        <v>Jay Sanford</v>
      </c>
      <c r="G89" t="str">
        <f t="shared" si="23"/>
        <v>Jay</v>
      </c>
      <c r="H89" t="str">
        <f t="shared" si="24"/>
        <v>Sanford</v>
      </c>
      <c r="I89" t="s">
        <v>47</v>
      </c>
      <c r="J89" t="str">
        <f t="shared" si="27"/>
        <v>East</v>
      </c>
      <c r="K89" t="s">
        <v>94</v>
      </c>
      <c r="L89" t="str">
        <f t="shared" si="28"/>
        <v>Birmingham</v>
      </c>
      <c r="M89" t="s">
        <v>54</v>
      </c>
      <c r="N89" t="str">
        <f t="shared" si="29"/>
        <v>Furniture</v>
      </c>
      <c r="O89" t="s">
        <v>68</v>
      </c>
      <c r="P89" t="str">
        <f t="shared" si="30"/>
        <v>Cabinet</v>
      </c>
      <c r="Q89" s="5">
        <v>1</v>
      </c>
      <c r="R89">
        <v>1215.67</v>
      </c>
      <c r="S89" s="6">
        <f t="shared" si="31"/>
        <v>1215.67</v>
      </c>
      <c r="T89" t="s">
        <v>42</v>
      </c>
      <c r="U89" s="2">
        <f t="shared" si="32"/>
        <v>0.1</v>
      </c>
      <c r="V89">
        <v>322.88</v>
      </c>
      <c r="W89" s="2">
        <f t="shared" si="33"/>
        <v>322.88</v>
      </c>
      <c r="X89" t="s">
        <v>49</v>
      </c>
      <c r="Y89" t="str">
        <f t="shared" si="34"/>
        <v>Card</v>
      </c>
      <c r="Z89" t="s">
        <v>23</v>
      </c>
      <c r="AA89" t="str">
        <f t="shared" si="35"/>
        <v>Completed</v>
      </c>
      <c r="AC89" s="8"/>
      <c r="AD89" t="str">
        <f t="shared" si="25"/>
        <v>10/10/2024</v>
      </c>
      <c r="AE89" t="b">
        <f t="shared" si="26"/>
        <v>0</v>
      </c>
    </row>
    <row r="90" spans="1:31" x14ac:dyDescent="0.35">
      <c r="A90" t="s">
        <v>367</v>
      </c>
      <c r="B90" t="s">
        <v>368</v>
      </c>
      <c r="C90" s="1">
        <f t="shared" si="21"/>
        <v>45312</v>
      </c>
      <c r="D90" t="s">
        <v>369</v>
      </c>
      <c r="E90" t="s">
        <v>370</v>
      </c>
      <c r="F90" t="str">
        <f t="shared" si="22"/>
        <v>Deanna Hernandez</v>
      </c>
      <c r="G90" t="str">
        <f t="shared" si="23"/>
        <v>Deanna</v>
      </c>
      <c r="H90" t="str">
        <f t="shared" si="24"/>
        <v>Hernandez</v>
      </c>
      <c r="I90" t="s">
        <v>144</v>
      </c>
      <c r="J90" t="str">
        <f t="shared" si="27"/>
        <v>Midlands</v>
      </c>
      <c r="K90" t="s">
        <v>34</v>
      </c>
      <c r="L90" t="str">
        <f t="shared" si="28"/>
        <v>Bristol</v>
      </c>
      <c r="M90" t="s">
        <v>19</v>
      </c>
      <c r="N90" t="str">
        <f t="shared" si="29"/>
        <v>Technology</v>
      </c>
      <c r="O90" t="s">
        <v>135</v>
      </c>
      <c r="P90" t="str">
        <f t="shared" si="30"/>
        <v>Monitor</v>
      </c>
      <c r="Q90" s="5">
        <v>8</v>
      </c>
      <c r="R90">
        <v>788.48</v>
      </c>
      <c r="S90" s="6">
        <f t="shared" si="31"/>
        <v>788.48</v>
      </c>
      <c r="T90">
        <v>0.1</v>
      </c>
      <c r="U90" s="2">
        <f t="shared" si="32"/>
        <v>0.1</v>
      </c>
      <c r="V90">
        <v>365.17</v>
      </c>
      <c r="W90" s="2">
        <f t="shared" si="33"/>
        <v>365.17</v>
      </c>
      <c r="X90" t="s">
        <v>49</v>
      </c>
      <c r="Y90" t="str">
        <f t="shared" si="34"/>
        <v>Card</v>
      </c>
      <c r="Z90" t="s">
        <v>23</v>
      </c>
      <c r="AA90" t="str">
        <f t="shared" si="35"/>
        <v>Completed</v>
      </c>
      <c r="AC90" s="8"/>
      <c r="AD90" t="str">
        <f t="shared" si="25"/>
        <v>21/01/2024</v>
      </c>
      <c r="AE90" t="b">
        <f t="shared" si="26"/>
        <v>0</v>
      </c>
    </row>
    <row r="91" spans="1:31" x14ac:dyDescent="0.35">
      <c r="A91" t="s">
        <v>371</v>
      </c>
      <c r="B91" t="s">
        <v>372</v>
      </c>
      <c r="C91" s="1">
        <f t="shared" si="21"/>
        <v>45340</v>
      </c>
      <c r="D91" t="s">
        <v>373</v>
      </c>
      <c r="E91" t="s">
        <v>374</v>
      </c>
      <c r="F91" t="str">
        <f t="shared" si="22"/>
        <v>Christopher Salinas</v>
      </c>
      <c r="G91" t="str">
        <f t="shared" si="23"/>
        <v>Christopher</v>
      </c>
      <c r="H91" t="str">
        <f t="shared" si="24"/>
        <v>Salinas</v>
      </c>
      <c r="I91" t="s">
        <v>40</v>
      </c>
      <c r="J91" t="str">
        <f t="shared" si="27"/>
        <v>North</v>
      </c>
      <c r="K91" t="s">
        <v>41</v>
      </c>
      <c r="L91" t="str">
        <f t="shared" si="28"/>
        <v>Manchester</v>
      </c>
      <c r="M91" t="s">
        <v>19</v>
      </c>
      <c r="N91" t="str">
        <f t="shared" si="29"/>
        <v>Technology</v>
      </c>
      <c r="O91" t="s">
        <v>158</v>
      </c>
      <c r="P91" t="str">
        <f t="shared" si="30"/>
        <v>Keyboard</v>
      </c>
      <c r="Q91" s="5">
        <v>5</v>
      </c>
      <c r="R91">
        <v>986.56</v>
      </c>
      <c r="S91" s="6">
        <f t="shared" si="31"/>
        <v>986.56</v>
      </c>
      <c r="T91">
        <v>0.1</v>
      </c>
      <c r="U91" s="2">
        <f t="shared" si="32"/>
        <v>0.1</v>
      </c>
      <c r="V91">
        <v>873.53</v>
      </c>
      <c r="W91" s="2">
        <f t="shared" si="33"/>
        <v>873.53</v>
      </c>
      <c r="X91" t="s">
        <v>35</v>
      </c>
      <c r="Y91" t="str">
        <f t="shared" si="34"/>
        <v>Bank Transfer</v>
      </c>
      <c r="Z91" t="s">
        <v>56</v>
      </c>
      <c r="AA91" t="str">
        <f t="shared" si="35"/>
        <v>Cancelled</v>
      </c>
      <c r="AC91" s="8"/>
      <c r="AD91" t="str">
        <f t="shared" si="25"/>
        <v>2024/02/18</v>
      </c>
      <c r="AE91" t="b">
        <f t="shared" si="26"/>
        <v>0</v>
      </c>
    </row>
    <row r="92" spans="1:31" x14ac:dyDescent="0.35">
      <c r="A92" t="s">
        <v>375</v>
      </c>
      <c r="B92" t="s">
        <v>376</v>
      </c>
      <c r="C92" s="1">
        <f t="shared" si="21"/>
        <v>45479</v>
      </c>
      <c r="D92" t="s">
        <v>377</v>
      </c>
      <c r="E92" t="s">
        <v>378</v>
      </c>
      <c r="F92" t="str">
        <f t="shared" si="22"/>
        <v>Ryan Acevedo</v>
      </c>
      <c r="G92" t="str">
        <f t="shared" si="23"/>
        <v>Ryan</v>
      </c>
      <c r="H92" t="str">
        <f t="shared" si="24"/>
        <v>Acevedo</v>
      </c>
      <c r="I92" t="s">
        <v>61</v>
      </c>
      <c r="J92" t="str">
        <f t="shared" si="27"/>
        <v>East</v>
      </c>
      <c r="K92" t="s">
        <v>62</v>
      </c>
      <c r="L92" t="str">
        <f t="shared" si="28"/>
        <v>Leeds</v>
      </c>
      <c r="M92" t="s">
        <v>112</v>
      </c>
      <c r="N92" t="str">
        <f t="shared" si="29"/>
        <v>Technology</v>
      </c>
      <c r="O92" t="s">
        <v>20</v>
      </c>
      <c r="P92" t="str">
        <f t="shared" si="30"/>
        <v>Laptop</v>
      </c>
      <c r="Q92" s="5">
        <v>6</v>
      </c>
      <c r="R92">
        <v>1006.82</v>
      </c>
      <c r="S92" s="6">
        <f t="shared" si="31"/>
        <v>1006.82</v>
      </c>
      <c r="T92">
        <v>0.2</v>
      </c>
      <c r="U92" s="2">
        <f t="shared" si="32"/>
        <v>0.2</v>
      </c>
      <c r="V92">
        <v>739.3</v>
      </c>
      <c r="W92" s="2">
        <f t="shared" si="33"/>
        <v>739.3</v>
      </c>
      <c r="X92" t="s">
        <v>35</v>
      </c>
      <c r="Y92" t="str">
        <f t="shared" si="34"/>
        <v>Bank Transfer</v>
      </c>
      <c r="Z92" t="s">
        <v>23</v>
      </c>
      <c r="AA92" t="str">
        <f t="shared" si="35"/>
        <v>Completed</v>
      </c>
      <c r="AC92" s="8"/>
      <c r="AD92" t="str">
        <f t="shared" si="25"/>
        <v>06/07/2024</v>
      </c>
      <c r="AE92" t="b">
        <f t="shared" si="26"/>
        <v>0</v>
      </c>
    </row>
    <row r="93" spans="1:31" x14ac:dyDescent="0.35">
      <c r="A93" t="s">
        <v>379</v>
      </c>
      <c r="B93" t="s">
        <v>380</v>
      </c>
      <c r="C93" s="1">
        <f t="shared" si="21"/>
        <v>45384</v>
      </c>
      <c r="D93" t="s">
        <v>72</v>
      </c>
      <c r="E93" t="s">
        <v>381</v>
      </c>
      <c r="F93" t="str">
        <f t="shared" si="22"/>
        <v>Richard Bailey</v>
      </c>
      <c r="G93" t="str">
        <f t="shared" si="23"/>
        <v>Richard</v>
      </c>
      <c r="H93" t="str">
        <f t="shared" si="24"/>
        <v>Bailey</v>
      </c>
      <c r="I93" t="s">
        <v>47</v>
      </c>
      <c r="J93" t="str">
        <f t="shared" si="27"/>
        <v>East</v>
      </c>
      <c r="K93" t="s">
        <v>34</v>
      </c>
      <c r="L93" t="str">
        <f t="shared" si="28"/>
        <v>Bristol</v>
      </c>
      <c r="M93" t="s">
        <v>48</v>
      </c>
      <c r="N93" t="str">
        <f t="shared" si="29"/>
        <v>Technology</v>
      </c>
      <c r="O93" t="s">
        <v>158</v>
      </c>
      <c r="P93" t="str">
        <f t="shared" si="30"/>
        <v>Keyboard</v>
      </c>
      <c r="Q93" s="5">
        <v>13</v>
      </c>
      <c r="R93">
        <v>343.68</v>
      </c>
      <c r="S93" s="6">
        <f t="shared" si="31"/>
        <v>343.68</v>
      </c>
      <c r="T93">
        <v>0</v>
      </c>
      <c r="U93" s="2">
        <f t="shared" si="32"/>
        <v>0</v>
      </c>
      <c r="V93">
        <v>79.010000000000005</v>
      </c>
      <c r="W93" s="2">
        <f t="shared" si="33"/>
        <v>79.010000000000005</v>
      </c>
      <c r="X93" t="s">
        <v>35</v>
      </c>
      <c r="Y93" t="str">
        <f t="shared" si="34"/>
        <v>Bank Transfer</v>
      </c>
      <c r="Z93" t="s">
        <v>23</v>
      </c>
      <c r="AA93" t="str">
        <f t="shared" si="35"/>
        <v>Completed</v>
      </c>
      <c r="AC93" s="8"/>
      <c r="AD93" t="str">
        <f t="shared" si="25"/>
        <v>2024/04/02</v>
      </c>
      <c r="AE93" t="b">
        <f t="shared" si="26"/>
        <v>0</v>
      </c>
    </row>
    <row r="94" spans="1:31" x14ac:dyDescent="0.35">
      <c r="A94" t="s">
        <v>382</v>
      </c>
      <c r="B94" t="s">
        <v>383</v>
      </c>
      <c r="C94" s="1">
        <f t="shared" si="21"/>
        <v>45370</v>
      </c>
      <c r="D94" t="s">
        <v>242</v>
      </c>
      <c r="E94" t="s">
        <v>384</v>
      </c>
      <c r="F94" t="str">
        <f t="shared" si="22"/>
        <v>Laura Salazar</v>
      </c>
      <c r="G94" t="str">
        <f t="shared" si="23"/>
        <v>Laura</v>
      </c>
      <c r="H94" t="str">
        <f t="shared" si="24"/>
        <v>Salazar</v>
      </c>
      <c r="I94" t="s">
        <v>83</v>
      </c>
      <c r="J94" t="str">
        <f t="shared" si="27"/>
        <v>South</v>
      </c>
      <c r="K94" t="s">
        <v>94</v>
      </c>
      <c r="L94" t="str">
        <f t="shared" si="28"/>
        <v>Birmingham</v>
      </c>
      <c r="M94" t="s">
        <v>28</v>
      </c>
      <c r="N94" t="str">
        <f t="shared" si="29"/>
        <v>Office Supplies</v>
      </c>
      <c r="O94" t="s">
        <v>63</v>
      </c>
      <c r="P94" t="str">
        <f t="shared" si="30"/>
        <v>Pen</v>
      </c>
      <c r="Q94" s="5">
        <v>14</v>
      </c>
      <c r="R94">
        <v>938.99</v>
      </c>
      <c r="S94" s="6">
        <f t="shared" si="31"/>
        <v>938.99</v>
      </c>
      <c r="T94">
        <v>0</v>
      </c>
      <c r="U94" s="2">
        <f t="shared" si="32"/>
        <v>0</v>
      </c>
      <c r="V94">
        <v>721.74</v>
      </c>
      <c r="W94" s="2">
        <f t="shared" si="33"/>
        <v>721.74</v>
      </c>
      <c r="X94" t="s">
        <v>35</v>
      </c>
      <c r="Y94" t="str">
        <f t="shared" si="34"/>
        <v>Bank Transfer</v>
      </c>
      <c r="Z94" t="s">
        <v>56</v>
      </c>
      <c r="AA94" t="str">
        <f t="shared" si="35"/>
        <v>Cancelled</v>
      </c>
      <c r="AC94" s="8"/>
      <c r="AD94" t="str">
        <f t="shared" si="25"/>
        <v>19/03/2024</v>
      </c>
      <c r="AE94" t="b">
        <f t="shared" si="26"/>
        <v>0</v>
      </c>
    </row>
    <row r="95" spans="1:31" x14ac:dyDescent="0.35">
      <c r="A95" t="s">
        <v>385</v>
      </c>
      <c r="B95" t="s">
        <v>376</v>
      </c>
      <c r="C95" s="1">
        <f t="shared" si="21"/>
        <v>45479</v>
      </c>
      <c r="D95" t="s">
        <v>66</v>
      </c>
      <c r="E95" t="s">
        <v>386</v>
      </c>
      <c r="F95" t="str">
        <f t="shared" si="22"/>
        <v>Preston Wilson</v>
      </c>
      <c r="G95" t="str">
        <f t="shared" si="23"/>
        <v>Preston</v>
      </c>
      <c r="H95" t="str">
        <f t="shared" si="24"/>
        <v>Wilson</v>
      </c>
      <c r="I95" t="s">
        <v>61</v>
      </c>
      <c r="J95" t="str">
        <f t="shared" si="27"/>
        <v>East</v>
      </c>
      <c r="K95" t="s">
        <v>62</v>
      </c>
      <c r="L95" t="str">
        <f t="shared" si="28"/>
        <v>Leeds</v>
      </c>
      <c r="M95" t="s">
        <v>112</v>
      </c>
      <c r="N95" t="str">
        <f t="shared" si="29"/>
        <v>Technology</v>
      </c>
      <c r="O95" t="s">
        <v>135</v>
      </c>
      <c r="P95" t="str">
        <f t="shared" si="30"/>
        <v>Monitor</v>
      </c>
      <c r="Q95" s="5">
        <v>15</v>
      </c>
      <c r="R95">
        <v>554.91999999999996</v>
      </c>
      <c r="S95" s="6">
        <f t="shared" si="31"/>
        <v>554.91999999999996</v>
      </c>
      <c r="T95" t="s">
        <v>42</v>
      </c>
      <c r="U95" s="2">
        <f t="shared" si="32"/>
        <v>0.1</v>
      </c>
      <c r="V95">
        <v>984.47</v>
      </c>
      <c r="W95" s="2">
        <f t="shared" si="33"/>
        <v>984.47</v>
      </c>
      <c r="X95" t="s">
        <v>69</v>
      </c>
      <c r="Y95" t="str">
        <f t="shared" si="34"/>
        <v>Paypal</v>
      </c>
      <c r="Z95" t="s">
        <v>23</v>
      </c>
      <c r="AA95" t="str">
        <f t="shared" si="35"/>
        <v>Completed</v>
      </c>
      <c r="AC95" s="8"/>
      <c r="AD95" t="str">
        <f t="shared" si="25"/>
        <v>06/07/2024</v>
      </c>
      <c r="AE95" t="b">
        <f t="shared" si="26"/>
        <v>0</v>
      </c>
    </row>
    <row r="96" spans="1:31" x14ac:dyDescent="0.35">
      <c r="A96" t="s">
        <v>387</v>
      </c>
      <c r="B96" t="s">
        <v>388</v>
      </c>
      <c r="C96" s="1">
        <f t="shared" si="21"/>
        <v>45738</v>
      </c>
      <c r="D96" t="s">
        <v>389</v>
      </c>
      <c r="E96" t="s">
        <v>390</v>
      </c>
      <c r="F96" t="str">
        <f t="shared" si="22"/>
        <v>Zachary Mcdonald</v>
      </c>
      <c r="G96" t="str">
        <f t="shared" si="23"/>
        <v>Zachary</v>
      </c>
      <c r="H96" t="str">
        <f t="shared" si="24"/>
        <v>Mcdonald</v>
      </c>
      <c r="I96" t="s">
        <v>40</v>
      </c>
      <c r="J96" t="str">
        <f t="shared" si="27"/>
        <v>North</v>
      </c>
      <c r="K96" t="s">
        <v>41</v>
      </c>
      <c r="L96" t="str">
        <f t="shared" si="28"/>
        <v>Manchester</v>
      </c>
      <c r="M96" t="s">
        <v>112</v>
      </c>
      <c r="N96" t="str">
        <f t="shared" si="29"/>
        <v>Technology</v>
      </c>
      <c r="O96" t="s">
        <v>135</v>
      </c>
      <c r="P96" t="str">
        <f t="shared" si="30"/>
        <v>Monitor</v>
      </c>
      <c r="Q96" s="5">
        <v>11</v>
      </c>
      <c r="R96">
        <v>559.96</v>
      </c>
      <c r="S96" s="6">
        <f t="shared" si="31"/>
        <v>559.96</v>
      </c>
      <c r="T96" t="s">
        <v>21</v>
      </c>
      <c r="U96" s="2">
        <f t="shared" si="32"/>
        <v>0.05</v>
      </c>
      <c r="V96">
        <v>711.98</v>
      </c>
      <c r="W96" s="2">
        <f t="shared" si="33"/>
        <v>711.98</v>
      </c>
      <c r="X96" t="s">
        <v>69</v>
      </c>
      <c r="Y96" t="str">
        <f t="shared" si="34"/>
        <v>Paypal</v>
      </c>
      <c r="Z96" t="s">
        <v>23</v>
      </c>
      <c r="AA96" t="str">
        <f t="shared" si="35"/>
        <v>Completed</v>
      </c>
      <c r="AC96" s="8"/>
      <c r="AD96" t="str">
        <f t="shared" si="25"/>
        <v>22/03/2025</v>
      </c>
      <c r="AE96" t="b">
        <f t="shared" si="26"/>
        <v>0</v>
      </c>
    </row>
    <row r="97" spans="1:31" x14ac:dyDescent="0.35">
      <c r="A97" t="s">
        <v>391</v>
      </c>
      <c r="B97" t="s">
        <v>392</v>
      </c>
      <c r="C97" s="1">
        <f t="shared" si="21"/>
        <v>45776</v>
      </c>
      <c r="D97" t="s">
        <v>369</v>
      </c>
      <c r="E97" t="s">
        <v>393</v>
      </c>
      <c r="F97" t="str">
        <f t="shared" si="22"/>
        <v>Yesenia Mitchell</v>
      </c>
      <c r="G97" t="str">
        <f t="shared" si="23"/>
        <v>Yesenia</v>
      </c>
      <c r="H97" t="str">
        <f t="shared" si="24"/>
        <v>Mitchell</v>
      </c>
      <c r="I97" t="s">
        <v>144</v>
      </c>
      <c r="J97" t="str">
        <f t="shared" si="27"/>
        <v>Midlands</v>
      </c>
      <c r="K97" t="s">
        <v>18</v>
      </c>
      <c r="L97" t="str">
        <f t="shared" si="28"/>
        <v>London</v>
      </c>
      <c r="M97" t="s">
        <v>54</v>
      </c>
      <c r="N97" t="str">
        <f t="shared" si="29"/>
        <v>Furniture</v>
      </c>
      <c r="O97" t="s">
        <v>74</v>
      </c>
      <c r="P97" t="str">
        <f t="shared" si="30"/>
        <v>Desk</v>
      </c>
      <c r="Q97" s="5">
        <v>15</v>
      </c>
      <c r="R97">
        <v>44.87</v>
      </c>
      <c r="S97" s="6">
        <f t="shared" si="31"/>
        <v>44.87</v>
      </c>
      <c r="T97">
        <v>0.05</v>
      </c>
      <c r="U97" s="2">
        <f t="shared" si="32"/>
        <v>0.05</v>
      </c>
      <c r="V97">
        <v>503</v>
      </c>
      <c r="W97" s="2">
        <f t="shared" si="33"/>
        <v>503</v>
      </c>
      <c r="X97" t="s">
        <v>49</v>
      </c>
      <c r="Y97" t="str">
        <f t="shared" si="34"/>
        <v>Card</v>
      </c>
      <c r="Z97" t="s">
        <v>23</v>
      </c>
      <c r="AA97" t="str">
        <f t="shared" si="35"/>
        <v>Completed</v>
      </c>
      <c r="AC97" s="8"/>
      <c r="AD97" t="str">
        <f t="shared" si="25"/>
        <v>04/29/2025</v>
      </c>
      <c r="AE97" t="b">
        <f t="shared" si="26"/>
        <v>1</v>
      </c>
    </row>
    <row r="98" spans="1:31" x14ac:dyDescent="0.35">
      <c r="A98" t="s">
        <v>394</v>
      </c>
      <c r="B98" t="s">
        <v>395</v>
      </c>
      <c r="C98" s="1">
        <f t="shared" ref="C98:C129" si="36" xml:space="preserve"> IF( MID(AD98,5,1) = "/", DATE( LEFT(AD98,4), MID(AD98,6,2), RIGHT(AD98,2)),  IF(VALUE(MID(AD98,FIND("/",AD98)+1,2)) &gt; 12, DATE(RIGHT(AD98,4), LEFT(AD98,2),MID(AD98,4,2) ),DATE( RIGHT(AD98,4), MID(AD98,4,2), LEFT(AD98,2))) )</f>
        <v>45697</v>
      </c>
      <c r="D98" t="s">
        <v>91</v>
      </c>
      <c r="E98" t="s">
        <v>396</v>
      </c>
      <c r="F98" t="str">
        <f t="shared" ref="F98:F129" si="37">TRIM(SUBSTITUTE(SUBSTITUTE(SUBSTITUTE(SUBSTITUTE(SUBSTITUTE(SUBSTITUTE(SUBSTITUTE(SUBSTITUTE(E98,"Dr. ","")," MD","")," PhD","")," DDS","")," DVM",""),"Mr. ",""),"Miss ",""),"Md",""))</f>
        <v>Ian Miller</v>
      </c>
      <c r="G98" t="str">
        <f t="shared" ref="G98:G129" si="38">TRIM(PROPER(_xlfn.TEXTBEFORE(F98," ",1)))</f>
        <v>Ian</v>
      </c>
      <c r="H98" t="str">
        <f t="shared" ref="H98:H129" si="39">PROPER(TRIM(_xlfn.TEXTAFTER(F98," ",-1)))</f>
        <v>Miller</v>
      </c>
      <c r="I98" t="s">
        <v>47</v>
      </c>
      <c r="J98" t="str">
        <f t="shared" si="27"/>
        <v>East</v>
      </c>
      <c r="K98" t="s">
        <v>103</v>
      </c>
      <c r="L98" t="str">
        <f t="shared" si="28"/>
        <v>Norwich</v>
      </c>
      <c r="M98" t="s">
        <v>19</v>
      </c>
      <c r="N98" t="str">
        <f t="shared" si="29"/>
        <v>Technology</v>
      </c>
      <c r="O98" t="s">
        <v>158</v>
      </c>
      <c r="P98" t="str">
        <f t="shared" si="30"/>
        <v>Keyboard</v>
      </c>
      <c r="Q98" s="5">
        <v>1</v>
      </c>
      <c r="R98">
        <v>1245.49</v>
      </c>
      <c r="S98" s="6">
        <f t="shared" si="31"/>
        <v>1245.49</v>
      </c>
      <c r="T98">
        <v>0.2</v>
      </c>
      <c r="U98" s="2">
        <f t="shared" si="32"/>
        <v>0.2</v>
      </c>
      <c r="V98">
        <v>140.52000000000001</v>
      </c>
      <c r="W98" s="2">
        <f t="shared" si="33"/>
        <v>140.52000000000001</v>
      </c>
      <c r="X98" t="s">
        <v>49</v>
      </c>
      <c r="Y98" t="str">
        <f t="shared" si="34"/>
        <v>Card</v>
      </c>
      <c r="Z98" t="s">
        <v>23</v>
      </c>
      <c r="AA98" t="str">
        <f t="shared" si="35"/>
        <v>Completed</v>
      </c>
      <c r="AC98" s="8"/>
      <c r="AD98" t="str">
        <f t="shared" ref="AD98:AD129" si="40">SUBSTITUTE(B98,"-","/")</f>
        <v>09/02/2025</v>
      </c>
      <c r="AE98" t="b">
        <f t="shared" ref="AE98:AE129" si="41">VALUE(MID(AD98,FIND("/",AD98)+1,2)) &gt; 12</f>
        <v>0</v>
      </c>
    </row>
    <row r="99" spans="1:31" x14ac:dyDescent="0.35">
      <c r="A99" t="s">
        <v>397</v>
      </c>
      <c r="B99" t="s">
        <v>398</v>
      </c>
      <c r="C99" s="1">
        <f t="shared" si="36"/>
        <v>45483</v>
      </c>
      <c r="D99" t="s">
        <v>38</v>
      </c>
      <c r="E99" t="s">
        <v>399</v>
      </c>
      <c r="F99" t="str">
        <f t="shared" si="37"/>
        <v>Jonathan Ross</v>
      </c>
      <c r="G99" t="str">
        <f t="shared" si="38"/>
        <v>Jonathan</v>
      </c>
      <c r="H99" t="str">
        <f t="shared" si="39"/>
        <v>Ross</v>
      </c>
      <c r="I99" t="s">
        <v>93</v>
      </c>
      <c r="J99" t="str">
        <f t="shared" si="27"/>
        <v>North</v>
      </c>
      <c r="K99" t="s">
        <v>103</v>
      </c>
      <c r="L99" t="str">
        <f t="shared" si="28"/>
        <v>Norwich</v>
      </c>
      <c r="M99" t="s">
        <v>112</v>
      </c>
      <c r="N99" t="str">
        <f t="shared" si="29"/>
        <v>Technology</v>
      </c>
      <c r="O99" t="s">
        <v>135</v>
      </c>
      <c r="P99" t="str">
        <f t="shared" si="30"/>
        <v>Monitor</v>
      </c>
      <c r="Q99" s="5">
        <v>7</v>
      </c>
      <c r="R99">
        <v>435.71</v>
      </c>
      <c r="S99" s="6">
        <f t="shared" si="31"/>
        <v>435.71</v>
      </c>
      <c r="T99" t="s">
        <v>42</v>
      </c>
      <c r="U99" s="2">
        <f t="shared" si="32"/>
        <v>0.1</v>
      </c>
      <c r="V99">
        <v>49.65</v>
      </c>
      <c r="W99" s="2">
        <f t="shared" si="33"/>
        <v>49.65</v>
      </c>
      <c r="X99" t="s">
        <v>49</v>
      </c>
      <c r="Y99" t="str">
        <f t="shared" si="34"/>
        <v>Card</v>
      </c>
      <c r="Z99" t="s">
        <v>56</v>
      </c>
      <c r="AA99" t="str">
        <f t="shared" si="35"/>
        <v>Cancelled</v>
      </c>
      <c r="AC99" s="8"/>
      <c r="AD99" t="str">
        <f t="shared" si="40"/>
        <v>10/07/2024</v>
      </c>
      <c r="AE99" t="b">
        <f t="shared" si="41"/>
        <v>0</v>
      </c>
    </row>
    <row r="100" spans="1:31" x14ac:dyDescent="0.35">
      <c r="A100" t="s">
        <v>400</v>
      </c>
      <c r="B100" t="s">
        <v>401</v>
      </c>
      <c r="C100" s="1">
        <f t="shared" si="36"/>
        <v>45536</v>
      </c>
      <c r="D100" t="s">
        <v>402</v>
      </c>
      <c r="E100" t="s">
        <v>403</v>
      </c>
      <c r="F100" t="str">
        <f t="shared" si="37"/>
        <v>Cameron Faulkner</v>
      </c>
      <c r="G100" t="str">
        <f t="shared" si="38"/>
        <v>Cameron</v>
      </c>
      <c r="H100" t="str">
        <f t="shared" si="39"/>
        <v>Faulkner</v>
      </c>
      <c r="I100" t="s">
        <v>17</v>
      </c>
      <c r="J100" t="str">
        <f t="shared" si="27"/>
        <v>West</v>
      </c>
      <c r="K100" t="s">
        <v>62</v>
      </c>
      <c r="L100" t="str">
        <f t="shared" si="28"/>
        <v>Leeds</v>
      </c>
      <c r="M100" t="s">
        <v>28</v>
      </c>
      <c r="N100" t="str">
        <f t="shared" si="29"/>
        <v>Office Supplies</v>
      </c>
      <c r="O100" t="s">
        <v>153</v>
      </c>
      <c r="P100" t="str">
        <f t="shared" si="30"/>
        <v>Stapler</v>
      </c>
      <c r="Q100" s="5">
        <v>12</v>
      </c>
      <c r="R100">
        <v>646.71</v>
      </c>
      <c r="S100" s="6">
        <f t="shared" si="31"/>
        <v>646.71</v>
      </c>
      <c r="T100" t="s">
        <v>42</v>
      </c>
      <c r="U100" s="2">
        <f t="shared" si="32"/>
        <v>0.1</v>
      </c>
      <c r="V100">
        <v>242.08</v>
      </c>
      <c r="W100" s="2">
        <f t="shared" si="33"/>
        <v>242.08</v>
      </c>
      <c r="X100" t="s">
        <v>35</v>
      </c>
      <c r="Y100" t="str">
        <f t="shared" si="34"/>
        <v>Bank Transfer</v>
      </c>
      <c r="Z100" t="s">
        <v>23</v>
      </c>
      <c r="AA100" t="str">
        <f t="shared" si="35"/>
        <v>Completed</v>
      </c>
      <c r="AC100" s="8"/>
      <c r="AD100" t="str">
        <f t="shared" si="40"/>
        <v>01/09/2024</v>
      </c>
      <c r="AE100" t="b">
        <f t="shared" si="41"/>
        <v>0</v>
      </c>
    </row>
    <row r="101" spans="1:31" x14ac:dyDescent="0.35">
      <c r="A101" t="s">
        <v>404</v>
      </c>
      <c r="B101" t="s">
        <v>405</v>
      </c>
      <c r="C101" s="1">
        <f t="shared" si="36"/>
        <v>45551</v>
      </c>
      <c r="D101" t="s">
        <v>955</v>
      </c>
      <c r="E101" t="s">
        <v>406</v>
      </c>
      <c r="F101" t="str">
        <f t="shared" si="37"/>
        <v>Luis Young</v>
      </c>
      <c r="G101" t="str">
        <f t="shared" si="38"/>
        <v>Luis</v>
      </c>
      <c r="H101" t="str">
        <f t="shared" si="39"/>
        <v>Young</v>
      </c>
      <c r="I101" t="s">
        <v>17</v>
      </c>
      <c r="J101" t="str">
        <f t="shared" si="27"/>
        <v>West</v>
      </c>
      <c r="K101" t="s">
        <v>41</v>
      </c>
      <c r="L101" t="str">
        <f t="shared" si="28"/>
        <v>Manchester</v>
      </c>
      <c r="M101" t="s">
        <v>28</v>
      </c>
      <c r="N101" t="str">
        <f t="shared" si="29"/>
        <v>Office Supplies</v>
      </c>
      <c r="O101" t="s">
        <v>153</v>
      </c>
      <c r="P101" t="str">
        <f t="shared" si="30"/>
        <v>Stapler</v>
      </c>
      <c r="Q101" s="5">
        <v>1</v>
      </c>
      <c r="R101">
        <v>707.85</v>
      </c>
      <c r="S101" s="6">
        <f t="shared" si="31"/>
        <v>707.85</v>
      </c>
      <c r="T101">
        <v>0.1</v>
      </c>
      <c r="U101" s="2">
        <f t="shared" si="32"/>
        <v>0.1</v>
      </c>
      <c r="V101">
        <v>981.08</v>
      </c>
      <c r="W101" s="2">
        <f t="shared" si="33"/>
        <v>981.08</v>
      </c>
      <c r="X101" t="s">
        <v>22</v>
      </c>
      <c r="Y101" t="str">
        <f t="shared" si="34"/>
        <v>Cash</v>
      </c>
      <c r="Z101" t="s">
        <v>23</v>
      </c>
      <c r="AA101" t="str">
        <f t="shared" si="35"/>
        <v>Completed</v>
      </c>
      <c r="AC101" s="8"/>
      <c r="AD101" t="str">
        <f t="shared" si="40"/>
        <v>09/16/2024</v>
      </c>
      <c r="AE101" t="b">
        <f t="shared" si="41"/>
        <v>1</v>
      </c>
    </row>
    <row r="102" spans="1:31" x14ac:dyDescent="0.35">
      <c r="A102" t="s">
        <v>407</v>
      </c>
      <c r="B102" t="s">
        <v>408</v>
      </c>
      <c r="C102" s="1">
        <f t="shared" si="36"/>
        <v>45679</v>
      </c>
      <c r="D102" t="s">
        <v>409</v>
      </c>
      <c r="E102" t="s">
        <v>410</v>
      </c>
      <c r="F102" t="str">
        <f t="shared" si="37"/>
        <v>Julie Jensen</v>
      </c>
      <c r="G102" t="str">
        <f t="shared" si="38"/>
        <v>Julie</v>
      </c>
      <c r="H102" t="str">
        <f t="shared" si="39"/>
        <v>Jensen</v>
      </c>
      <c r="I102" t="s">
        <v>40</v>
      </c>
      <c r="J102" t="str">
        <f t="shared" si="27"/>
        <v>North</v>
      </c>
      <c r="K102" t="s">
        <v>103</v>
      </c>
      <c r="L102" t="str">
        <f t="shared" si="28"/>
        <v>Norwich</v>
      </c>
      <c r="M102" t="s">
        <v>28</v>
      </c>
      <c r="N102" t="str">
        <f t="shared" si="29"/>
        <v>Office Supplies</v>
      </c>
      <c r="O102" t="s">
        <v>153</v>
      </c>
      <c r="P102" t="str">
        <f t="shared" si="30"/>
        <v>Stapler</v>
      </c>
      <c r="Q102" s="5">
        <v>9</v>
      </c>
      <c r="R102">
        <v>965.98</v>
      </c>
      <c r="S102" s="6">
        <f t="shared" si="31"/>
        <v>965.98</v>
      </c>
      <c r="T102">
        <v>0.2</v>
      </c>
      <c r="U102" s="2">
        <f t="shared" si="32"/>
        <v>0.2</v>
      </c>
      <c r="V102">
        <v>685.31</v>
      </c>
      <c r="W102" s="2">
        <f t="shared" si="33"/>
        <v>685.31</v>
      </c>
      <c r="X102" t="s">
        <v>69</v>
      </c>
      <c r="Y102" t="str">
        <f t="shared" si="34"/>
        <v>Paypal</v>
      </c>
      <c r="Z102" t="s">
        <v>23</v>
      </c>
      <c r="AA102" t="str">
        <f t="shared" si="35"/>
        <v>Completed</v>
      </c>
      <c r="AC102" s="8"/>
      <c r="AD102" t="str">
        <f t="shared" si="40"/>
        <v>2025/01/22</v>
      </c>
      <c r="AE102" t="b">
        <f t="shared" si="41"/>
        <v>0</v>
      </c>
    </row>
    <row r="103" spans="1:31" x14ac:dyDescent="0.35">
      <c r="A103" t="s">
        <v>411</v>
      </c>
      <c r="B103" t="s">
        <v>412</v>
      </c>
      <c r="C103" s="1">
        <f t="shared" si="36"/>
        <v>45314</v>
      </c>
      <c r="D103" t="s">
        <v>147</v>
      </c>
      <c r="E103" t="s">
        <v>413</v>
      </c>
      <c r="F103" t="str">
        <f t="shared" si="37"/>
        <v>Jaime Cook</v>
      </c>
      <c r="G103" t="str">
        <f t="shared" si="38"/>
        <v>Jaime</v>
      </c>
      <c r="H103" t="str">
        <f t="shared" si="39"/>
        <v>Cook</v>
      </c>
      <c r="I103" t="s">
        <v>83</v>
      </c>
      <c r="J103" t="str">
        <f t="shared" si="27"/>
        <v>South</v>
      </c>
      <c r="K103" t="s">
        <v>41</v>
      </c>
      <c r="L103" t="str">
        <f t="shared" si="28"/>
        <v>Manchester</v>
      </c>
      <c r="M103" t="s">
        <v>48</v>
      </c>
      <c r="N103" t="str">
        <f t="shared" si="29"/>
        <v>Technology</v>
      </c>
      <c r="O103" t="s">
        <v>135</v>
      </c>
      <c r="P103" t="str">
        <f t="shared" si="30"/>
        <v>Monitor</v>
      </c>
      <c r="Q103" s="5">
        <v>6</v>
      </c>
      <c r="R103">
        <v>775.5</v>
      </c>
      <c r="S103" s="6">
        <f t="shared" si="31"/>
        <v>775.5</v>
      </c>
      <c r="T103">
        <v>0.1</v>
      </c>
      <c r="U103" s="2">
        <f t="shared" si="32"/>
        <v>0.1</v>
      </c>
      <c r="V103">
        <v>543.94000000000005</v>
      </c>
      <c r="W103" s="2">
        <f t="shared" si="33"/>
        <v>543.94000000000005</v>
      </c>
      <c r="X103" t="s">
        <v>35</v>
      </c>
      <c r="Y103" t="str">
        <f t="shared" si="34"/>
        <v>Bank Transfer</v>
      </c>
      <c r="Z103" t="s">
        <v>23</v>
      </c>
      <c r="AA103" t="str">
        <f t="shared" si="35"/>
        <v>Completed</v>
      </c>
      <c r="AC103" s="8"/>
      <c r="AD103" t="str">
        <f t="shared" si="40"/>
        <v>01/23/2024</v>
      </c>
      <c r="AE103" t="b">
        <f t="shared" si="41"/>
        <v>1</v>
      </c>
    </row>
    <row r="104" spans="1:31" x14ac:dyDescent="0.35">
      <c r="A104" t="s">
        <v>414</v>
      </c>
      <c r="B104" t="s">
        <v>415</v>
      </c>
      <c r="C104" s="1">
        <f t="shared" si="36"/>
        <v>45355</v>
      </c>
      <c r="D104" t="s">
        <v>416</v>
      </c>
      <c r="E104" t="s">
        <v>417</v>
      </c>
      <c r="F104" t="str">
        <f t="shared" si="37"/>
        <v>John Hamilton</v>
      </c>
      <c r="G104" t="str">
        <f t="shared" si="38"/>
        <v>John</v>
      </c>
      <c r="H104" t="str">
        <f t="shared" si="39"/>
        <v>Hamilton</v>
      </c>
      <c r="I104" t="s">
        <v>18</v>
      </c>
      <c r="J104" t="str">
        <f t="shared" si="27"/>
        <v>London</v>
      </c>
      <c r="K104" t="s">
        <v>103</v>
      </c>
      <c r="L104" t="str">
        <f t="shared" si="28"/>
        <v>Norwich</v>
      </c>
      <c r="M104" t="s">
        <v>48</v>
      </c>
      <c r="N104" t="str">
        <f t="shared" si="29"/>
        <v>Technology</v>
      </c>
      <c r="O104" t="s">
        <v>158</v>
      </c>
      <c r="P104" t="str">
        <f t="shared" si="30"/>
        <v>Keyboard</v>
      </c>
      <c r="Q104" s="5">
        <v>7</v>
      </c>
      <c r="R104">
        <v>1342.48</v>
      </c>
      <c r="S104" s="6">
        <f t="shared" si="31"/>
        <v>1342.48</v>
      </c>
      <c r="T104" t="s">
        <v>42</v>
      </c>
      <c r="U104" s="2">
        <f t="shared" si="32"/>
        <v>0.1</v>
      </c>
      <c r="V104">
        <v>973.78</v>
      </c>
      <c r="W104" s="2">
        <f t="shared" si="33"/>
        <v>973.78</v>
      </c>
      <c r="X104" t="s">
        <v>69</v>
      </c>
      <c r="Y104" t="str">
        <f t="shared" si="34"/>
        <v>Paypal</v>
      </c>
      <c r="Z104" t="s">
        <v>23</v>
      </c>
      <c r="AA104" t="str">
        <f t="shared" si="35"/>
        <v>Completed</v>
      </c>
      <c r="AC104" s="8"/>
      <c r="AD104" t="str">
        <f t="shared" si="40"/>
        <v>2024/03/04</v>
      </c>
      <c r="AE104" t="b">
        <f t="shared" si="41"/>
        <v>0</v>
      </c>
    </row>
    <row r="105" spans="1:31" x14ac:dyDescent="0.35">
      <c r="A105" t="s">
        <v>418</v>
      </c>
      <c r="B105" t="s">
        <v>419</v>
      </c>
      <c r="C105" s="1">
        <f t="shared" si="36"/>
        <v>45713</v>
      </c>
      <c r="D105" t="s">
        <v>420</v>
      </c>
      <c r="E105" t="s">
        <v>421</v>
      </c>
      <c r="F105" t="str">
        <f t="shared" si="37"/>
        <v>Bob Bowman</v>
      </c>
      <c r="G105" t="str">
        <f t="shared" si="38"/>
        <v>Bob</v>
      </c>
      <c r="H105" t="str">
        <f t="shared" si="39"/>
        <v>Bowman</v>
      </c>
      <c r="I105" t="s">
        <v>93</v>
      </c>
      <c r="J105" t="str">
        <f t="shared" si="27"/>
        <v>North</v>
      </c>
      <c r="K105" t="s">
        <v>41</v>
      </c>
      <c r="L105" t="str">
        <f t="shared" si="28"/>
        <v>Manchester</v>
      </c>
      <c r="M105" t="s">
        <v>54</v>
      </c>
      <c r="N105" t="str">
        <f t="shared" si="29"/>
        <v>Furniture</v>
      </c>
      <c r="O105" t="s">
        <v>68</v>
      </c>
      <c r="P105" t="str">
        <f t="shared" si="30"/>
        <v>Cabinet</v>
      </c>
      <c r="Q105" s="5">
        <v>5</v>
      </c>
      <c r="R105">
        <v>124.7</v>
      </c>
      <c r="S105" s="6">
        <f t="shared" si="31"/>
        <v>124.7</v>
      </c>
      <c r="T105" t="s">
        <v>21</v>
      </c>
      <c r="U105" s="2">
        <f t="shared" si="32"/>
        <v>0.05</v>
      </c>
      <c r="V105">
        <v>307.88</v>
      </c>
      <c r="W105" s="2">
        <f t="shared" si="33"/>
        <v>307.88</v>
      </c>
      <c r="X105" t="s">
        <v>69</v>
      </c>
      <c r="Y105" t="str">
        <f t="shared" si="34"/>
        <v>Paypal</v>
      </c>
      <c r="Z105" t="s">
        <v>23</v>
      </c>
      <c r="AA105" t="str">
        <f t="shared" si="35"/>
        <v>Completed</v>
      </c>
      <c r="AC105" s="8"/>
      <c r="AD105" t="str">
        <f t="shared" si="40"/>
        <v>25/02/2025</v>
      </c>
      <c r="AE105" t="b">
        <f t="shared" si="41"/>
        <v>0</v>
      </c>
    </row>
    <row r="106" spans="1:31" x14ac:dyDescent="0.35">
      <c r="A106" t="s">
        <v>422</v>
      </c>
      <c r="B106" t="s">
        <v>423</v>
      </c>
      <c r="C106" s="1">
        <f t="shared" si="36"/>
        <v>45432</v>
      </c>
      <c r="D106" t="s">
        <v>59</v>
      </c>
      <c r="E106" t="s">
        <v>350</v>
      </c>
      <c r="F106" t="str">
        <f t="shared" si="37"/>
        <v>Christopher Johnson</v>
      </c>
      <c r="G106" t="str">
        <f t="shared" si="38"/>
        <v>Christopher</v>
      </c>
      <c r="H106" t="str">
        <f t="shared" si="39"/>
        <v>Johnson</v>
      </c>
      <c r="I106" t="s">
        <v>40</v>
      </c>
      <c r="J106" t="str">
        <f t="shared" si="27"/>
        <v>North</v>
      </c>
      <c r="K106" t="s">
        <v>62</v>
      </c>
      <c r="L106" t="str">
        <f t="shared" si="28"/>
        <v>Leeds</v>
      </c>
      <c r="M106" t="s">
        <v>48</v>
      </c>
      <c r="N106" t="str">
        <f t="shared" si="29"/>
        <v>Technology</v>
      </c>
      <c r="O106" t="s">
        <v>88</v>
      </c>
      <c r="P106" t="str">
        <f t="shared" si="30"/>
        <v>Mouse</v>
      </c>
      <c r="Q106" s="5">
        <v>1</v>
      </c>
      <c r="R106">
        <v>958.08</v>
      </c>
      <c r="S106" s="6">
        <f t="shared" si="31"/>
        <v>958.08</v>
      </c>
      <c r="T106">
        <v>0.2</v>
      </c>
      <c r="U106" s="2">
        <f t="shared" si="32"/>
        <v>0.2</v>
      </c>
      <c r="V106">
        <v>801.49</v>
      </c>
      <c r="W106" s="2">
        <f t="shared" si="33"/>
        <v>801.49</v>
      </c>
      <c r="X106" t="s">
        <v>69</v>
      </c>
      <c r="Y106" t="str">
        <f t="shared" si="34"/>
        <v>Paypal</v>
      </c>
      <c r="Z106" t="s">
        <v>23</v>
      </c>
      <c r="AA106" t="str">
        <f t="shared" si="35"/>
        <v>Completed</v>
      </c>
      <c r="AC106" s="8"/>
      <c r="AD106" t="str">
        <f t="shared" si="40"/>
        <v>05/20/2024</v>
      </c>
      <c r="AE106" t="b">
        <f t="shared" si="41"/>
        <v>1</v>
      </c>
    </row>
    <row r="107" spans="1:31" x14ac:dyDescent="0.35">
      <c r="A107" t="s">
        <v>424</v>
      </c>
      <c r="B107" t="s">
        <v>425</v>
      </c>
      <c r="C107" s="1">
        <f t="shared" si="36"/>
        <v>45412</v>
      </c>
      <c r="D107" t="s">
        <v>334</v>
      </c>
      <c r="E107" t="s">
        <v>426</v>
      </c>
      <c r="F107" t="str">
        <f t="shared" si="37"/>
        <v>Steven Allen</v>
      </c>
      <c r="G107" t="str">
        <f t="shared" si="38"/>
        <v>Steven</v>
      </c>
      <c r="H107" t="str">
        <f t="shared" si="39"/>
        <v>Allen</v>
      </c>
      <c r="I107" t="s">
        <v>17</v>
      </c>
      <c r="J107" t="str">
        <f t="shared" si="27"/>
        <v>West</v>
      </c>
      <c r="K107" t="s">
        <v>62</v>
      </c>
      <c r="L107" t="str">
        <f t="shared" si="28"/>
        <v>Leeds</v>
      </c>
      <c r="M107" t="s">
        <v>112</v>
      </c>
      <c r="N107" t="str">
        <f t="shared" si="29"/>
        <v>Technology</v>
      </c>
      <c r="O107" t="s">
        <v>20</v>
      </c>
      <c r="P107" t="str">
        <f t="shared" si="30"/>
        <v>Laptop</v>
      </c>
      <c r="Q107" s="5">
        <v>7</v>
      </c>
      <c r="R107">
        <v>53.42</v>
      </c>
      <c r="S107" s="6">
        <f t="shared" si="31"/>
        <v>53.42</v>
      </c>
      <c r="T107">
        <v>0.1</v>
      </c>
      <c r="U107" s="2">
        <f t="shared" si="32"/>
        <v>0.1</v>
      </c>
      <c r="V107">
        <v>451.02</v>
      </c>
      <c r="W107" s="2">
        <f t="shared" si="33"/>
        <v>451.02</v>
      </c>
      <c r="X107" t="s">
        <v>22</v>
      </c>
      <c r="Y107" t="str">
        <f t="shared" si="34"/>
        <v>Cash</v>
      </c>
      <c r="Z107" t="s">
        <v>23</v>
      </c>
      <c r="AA107" t="str">
        <f t="shared" si="35"/>
        <v>Completed</v>
      </c>
      <c r="AC107" s="8"/>
      <c r="AD107" t="str">
        <f t="shared" si="40"/>
        <v>2024/04/30</v>
      </c>
      <c r="AE107" t="b">
        <f t="shared" si="41"/>
        <v>0</v>
      </c>
    </row>
    <row r="108" spans="1:31" x14ac:dyDescent="0.35">
      <c r="A108" t="s">
        <v>427</v>
      </c>
      <c r="B108" t="s">
        <v>428</v>
      </c>
      <c r="C108" s="1">
        <f t="shared" si="36"/>
        <v>45624</v>
      </c>
      <c r="D108" t="s">
        <v>294</v>
      </c>
      <c r="E108" t="s">
        <v>429</v>
      </c>
      <c r="F108" t="str">
        <f t="shared" si="37"/>
        <v>Bonnie Goodwin</v>
      </c>
      <c r="G108" t="str">
        <f t="shared" si="38"/>
        <v>Bonnie</v>
      </c>
      <c r="H108" t="str">
        <f t="shared" si="39"/>
        <v>Goodwin</v>
      </c>
      <c r="I108" t="s">
        <v>93</v>
      </c>
      <c r="J108" t="str">
        <f t="shared" si="27"/>
        <v>North</v>
      </c>
      <c r="K108" t="s">
        <v>18</v>
      </c>
      <c r="L108" t="str">
        <f t="shared" si="28"/>
        <v>London</v>
      </c>
      <c r="M108" t="s">
        <v>54</v>
      </c>
      <c r="N108" t="str">
        <f t="shared" si="29"/>
        <v>Furniture</v>
      </c>
      <c r="O108" t="s">
        <v>55</v>
      </c>
      <c r="P108" t="str">
        <f t="shared" si="30"/>
        <v>Chair</v>
      </c>
      <c r="Q108" s="5">
        <v>-2</v>
      </c>
      <c r="R108">
        <v>283.14</v>
      </c>
      <c r="S108" s="6">
        <f t="shared" si="31"/>
        <v>283.14</v>
      </c>
      <c r="T108">
        <v>0</v>
      </c>
      <c r="U108" s="2">
        <f t="shared" si="32"/>
        <v>0</v>
      </c>
      <c r="V108">
        <v>913.72</v>
      </c>
      <c r="W108" s="2">
        <f t="shared" si="33"/>
        <v>913.72</v>
      </c>
      <c r="X108" t="s">
        <v>35</v>
      </c>
      <c r="Y108" t="str">
        <f t="shared" si="34"/>
        <v>Bank Transfer</v>
      </c>
      <c r="Z108" t="s">
        <v>56</v>
      </c>
      <c r="AA108" t="str">
        <f t="shared" si="35"/>
        <v>Cancelled</v>
      </c>
      <c r="AC108" s="8"/>
      <c r="AD108" t="str">
        <f t="shared" si="40"/>
        <v>28/11/2024</v>
      </c>
      <c r="AE108" t="b">
        <f t="shared" si="41"/>
        <v>0</v>
      </c>
    </row>
    <row r="109" spans="1:31" x14ac:dyDescent="0.35">
      <c r="A109" t="s">
        <v>430</v>
      </c>
      <c r="B109" t="s">
        <v>431</v>
      </c>
      <c r="C109" s="1">
        <f t="shared" si="36"/>
        <v>45361</v>
      </c>
      <c r="D109" t="s">
        <v>432</v>
      </c>
      <c r="E109" t="s">
        <v>433</v>
      </c>
      <c r="F109" t="str">
        <f t="shared" si="37"/>
        <v>Abigail Blankenship</v>
      </c>
      <c r="G109" t="str">
        <f t="shared" si="38"/>
        <v>Abigail</v>
      </c>
      <c r="H109" t="str">
        <f t="shared" si="39"/>
        <v>Blankenship</v>
      </c>
      <c r="I109" t="s">
        <v>17</v>
      </c>
      <c r="J109" t="str">
        <f t="shared" si="27"/>
        <v>West</v>
      </c>
      <c r="K109" t="s">
        <v>62</v>
      </c>
      <c r="L109" t="str">
        <f t="shared" si="28"/>
        <v>Leeds</v>
      </c>
      <c r="M109" t="s">
        <v>112</v>
      </c>
      <c r="N109" t="str">
        <f t="shared" si="29"/>
        <v>Technology</v>
      </c>
      <c r="O109" t="s">
        <v>20</v>
      </c>
      <c r="P109" t="str">
        <f t="shared" si="30"/>
        <v>Laptop</v>
      </c>
      <c r="Q109" s="5">
        <v>15</v>
      </c>
      <c r="R109">
        <v>1495.91</v>
      </c>
      <c r="S109" s="6">
        <f t="shared" si="31"/>
        <v>1495.91</v>
      </c>
      <c r="T109">
        <v>0.1</v>
      </c>
      <c r="U109" s="2">
        <f t="shared" si="32"/>
        <v>0.1</v>
      </c>
      <c r="V109">
        <v>967.63</v>
      </c>
      <c r="W109" s="2">
        <f t="shared" si="33"/>
        <v>967.63</v>
      </c>
      <c r="X109" t="s">
        <v>35</v>
      </c>
      <c r="Y109" t="str">
        <f t="shared" si="34"/>
        <v>Bank Transfer</v>
      </c>
      <c r="Z109" t="s">
        <v>23</v>
      </c>
      <c r="AA109" t="str">
        <f t="shared" si="35"/>
        <v>Completed</v>
      </c>
      <c r="AC109" s="8"/>
      <c r="AD109" t="str">
        <f t="shared" si="40"/>
        <v>2024/03/10</v>
      </c>
      <c r="AE109" t="b">
        <f t="shared" si="41"/>
        <v>0</v>
      </c>
    </row>
    <row r="110" spans="1:31" x14ac:dyDescent="0.35">
      <c r="A110" t="s">
        <v>434</v>
      </c>
      <c r="B110" t="s">
        <v>435</v>
      </c>
      <c r="C110" s="1">
        <f t="shared" si="36"/>
        <v>45698</v>
      </c>
      <c r="D110" t="s">
        <v>334</v>
      </c>
      <c r="E110" t="s">
        <v>436</v>
      </c>
      <c r="F110" t="str">
        <f t="shared" si="37"/>
        <v>Tina Lewis</v>
      </c>
      <c r="G110" t="str">
        <f t="shared" si="38"/>
        <v>Tina</v>
      </c>
      <c r="H110" t="str">
        <f t="shared" si="39"/>
        <v>Lewis</v>
      </c>
      <c r="I110" t="s">
        <v>40</v>
      </c>
      <c r="J110" t="str">
        <f t="shared" si="27"/>
        <v>North</v>
      </c>
      <c r="K110" t="s">
        <v>62</v>
      </c>
      <c r="L110" t="str">
        <f t="shared" si="28"/>
        <v>Leeds</v>
      </c>
      <c r="M110" t="s">
        <v>112</v>
      </c>
      <c r="N110" t="str">
        <f t="shared" si="29"/>
        <v>Technology</v>
      </c>
      <c r="O110" t="s">
        <v>135</v>
      </c>
      <c r="P110" t="str">
        <f t="shared" si="30"/>
        <v>Monitor</v>
      </c>
      <c r="Q110" s="5">
        <v>4</v>
      </c>
      <c r="R110">
        <v>358.92</v>
      </c>
      <c r="S110" s="6">
        <f t="shared" si="31"/>
        <v>358.92</v>
      </c>
      <c r="T110" t="s">
        <v>21</v>
      </c>
      <c r="U110" s="2">
        <f t="shared" si="32"/>
        <v>0.05</v>
      </c>
      <c r="V110">
        <v>362.17</v>
      </c>
      <c r="W110" s="2">
        <f t="shared" si="33"/>
        <v>362.17</v>
      </c>
      <c r="X110" t="s">
        <v>49</v>
      </c>
      <c r="Y110" t="str">
        <f t="shared" si="34"/>
        <v>Card</v>
      </c>
      <c r="Z110" t="s">
        <v>23</v>
      </c>
      <c r="AA110" t="str">
        <f t="shared" si="35"/>
        <v>Completed</v>
      </c>
      <c r="AC110" s="8"/>
      <c r="AD110" t="str">
        <f t="shared" si="40"/>
        <v>2025/02/10</v>
      </c>
      <c r="AE110" t="b">
        <f t="shared" si="41"/>
        <v>0</v>
      </c>
    </row>
    <row r="111" spans="1:31" x14ac:dyDescent="0.35">
      <c r="A111" t="s">
        <v>437</v>
      </c>
      <c r="B111" t="s">
        <v>438</v>
      </c>
      <c r="C111" s="1">
        <f t="shared" si="36"/>
        <v>45689</v>
      </c>
      <c r="D111" t="s">
        <v>439</v>
      </c>
      <c r="E111" t="s">
        <v>440</v>
      </c>
      <c r="F111" t="str">
        <f t="shared" si="37"/>
        <v>Victoria Palmer</v>
      </c>
      <c r="G111" t="str">
        <f t="shared" si="38"/>
        <v>Victoria</v>
      </c>
      <c r="H111" t="str">
        <f t="shared" si="39"/>
        <v>Palmer</v>
      </c>
      <c r="I111" t="s">
        <v>144</v>
      </c>
      <c r="J111" t="str">
        <f t="shared" si="27"/>
        <v>Midlands</v>
      </c>
      <c r="K111" t="s">
        <v>18</v>
      </c>
      <c r="L111" t="str">
        <f t="shared" si="28"/>
        <v>London</v>
      </c>
      <c r="M111" t="s">
        <v>48</v>
      </c>
      <c r="N111" t="str">
        <f t="shared" si="29"/>
        <v>Technology</v>
      </c>
      <c r="O111" t="s">
        <v>88</v>
      </c>
      <c r="P111" t="str">
        <f t="shared" si="30"/>
        <v>Mouse</v>
      </c>
      <c r="Q111" s="5">
        <v>13</v>
      </c>
      <c r="R111">
        <v>864.48</v>
      </c>
      <c r="S111" s="6">
        <f t="shared" si="31"/>
        <v>864.48</v>
      </c>
      <c r="T111">
        <v>0</v>
      </c>
      <c r="U111" s="2">
        <f t="shared" si="32"/>
        <v>0</v>
      </c>
      <c r="V111">
        <v>318.39</v>
      </c>
      <c r="W111" s="2">
        <f t="shared" si="33"/>
        <v>318.39</v>
      </c>
      <c r="X111" t="s">
        <v>22</v>
      </c>
      <c r="Y111" t="str">
        <f t="shared" si="34"/>
        <v>Cash</v>
      </c>
      <c r="Z111" t="s">
        <v>23</v>
      </c>
      <c r="AA111" t="str">
        <f t="shared" si="35"/>
        <v>Completed</v>
      </c>
      <c r="AC111" s="8"/>
      <c r="AD111" t="str">
        <f t="shared" si="40"/>
        <v>01/02/2025</v>
      </c>
      <c r="AE111" t="b">
        <f t="shared" si="41"/>
        <v>0</v>
      </c>
    </row>
    <row r="112" spans="1:31" x14ac:dyDescent="0.35">
      <c r="A112" t="s">
        <v>441</v>
      </c>
      <c r="B112" t="s">
        <v>442</v>
      </c>
      <c r="C112" s="1">
        <f t="shared" si="36"/>
        <v>45965</v>
      </c>
      <c r="D112" t="s">
        <v>443</v>
      </c>
      <c r="E112" t="s">
        <v>444</v>
      </c>
      <c r="F112" t="str">
        <f t="shared" si="37"/>
        <v>Todd Torres</v>
      </c>
      <c r="G112" t="str">
        <f t="shared" si="38"/>
        <v>Todd</v>
      </c>
      <c r="H112" t="str">
        <f t="shared" si="39"/>
        <v>Torres</v>
      </c>
      <c r="I112" t="s">
        <v>17</v>
      </c>
      <c r="J112" t="str">
        <f t="shared" si="27"/>
        <v>West</v>
      </c>
      <c r="K112" t="s">
        <v>41</v>
      </c>
      <c r="L112" t="str">
        <f t="shared" si="28"/>
        <v>Manchester</v>
      </c>
      <c r="M112" t="s">
        <v>54</v>
      </c>
      <c r="N112" t="str">
        <f t="shared" si="29"/>
        <v>Furniture</v>
      </c>
      <c r="O112" t="s">
        <v>68</v>
      </c>
      <c r="P112" t="str">
        <f t="shared" si="30"/>
        <v>Cabinet</v>
      </c>
      <c r="Q112" s="5">
        <v>9</v>
      </c>
      <c r="R112">
        <v>251.16</v>
      </c>
      <c r="S112" s="6">
        <f t="shared" si="31"/>
        <v>251.16</v>
      </c>
      <c r="T112">
        <v>0.1</v>
      </c>
      <c r="U112" s="2">
        <f t="shared" si="32"/>
        <v>0.1</v>
      </c>
      <c r="V112">
        <v>709.91</v>
      </c>
      <c r="W112" s="2">
        <f t="shared" si="33"/>
        <v>709.91</v>
      </c>
      <c r="X112" t="s">
        <v>22</v>
      </c>
      <c r="Y112" t="str">
        <f t="shared" si="34"/>
        <v>Cash</v>
      </c>
      <c r="Z112" t="s">
        <v>23</v>
      </c>
      <c r="AA112" t="str">
        <f t="shared" si="35"/>
        <v>Completed</v>
      </c>
      <c r="AC112" s="8"/>
      <c r="AD112" t="str">
        <f t="shared" si="40"/>
        <v>04/11/2025</v>
      </c>
      <c r="AE112" t="b">
        <f t="shared" si="41"/>
        <v>0</v>
      </c>
    </row>
    <row r="113" spans="1:31" x14ac:dyDescent="0.35">
      <c r="A113" t="s">
        <v>445</v>
      </c>
      <c r="B113" t="s">
        <v>337</v>
      </c>
      <c r="C113" s="1">
        <f t="shared" si="36"/>
        <v>45576</v>
      </c>
      <c r="D113" t="s">
        <v>97</v>
      </c>
      <c r="E113" t="s">
        <v>446</v>
      </c>
      <c r="F113" t="str">
        <f t="shared" si="37"/>
        <v>Michael Hart</v>
      </c>
      <c r="G113" t="str">
        <f t="shared" si="38"/>
        <v>Michael</v>
      </c>
      <c r="H113" t="str">
        <f t="shared" si="39"/>
        <v>Hart</v>
      </c>
      <c r="I113" t="s">
        <v>47</v>
      </c>
      <c r="J113" t="str">
        <f t="shared" si="27"/>
        <v>East</v>
      </c>
      <c r="K113" t="s">
        <v>103</v>
      </c>
      <c r="L113" t="str">
        <f t="shared" si="28"/>
        <v>Norwich</v>
      </c>
      <c r="M113" t="s">
        <v>112</v>
      </c>
      <c r="N113" t="str">
        <f t="shared" si="29"/>
        <v>Technology</v>
      </c>
      <c r="O113" t="s">
        <v>158</v>
      </c>
      <c r="P113" t="str">
        <f t="shared" si="30"/>
        <v>Keyboard</v>
      </c>
      <c r="Q113" s="5">
        <v>3</v>
      </c>
      <c r="R113">
        <v>873.07</v>
      </c>
      <c r="S113" s="6">
        <f t="shared" si="31"/>
        <v>873.07</v>
      </c>
      <c r="T113" t="s">
        <v>21</v>
      </c>
      <c r="U113" s="2">
        <f t="shared" si="32"/>
        <v>0.05</v>
      </c>
      <c r="V113">
        <v>625.23</v>
      </c>
      <c r="W113" s="2">
        <f t="shared" si="33"/>
        <v>625.23</v>
      </c>
      <c r="X113" t="s">
        <v>49</v>
      </c>
      <c r="Y113" t="str">
        <f t="shared" si="34"/>
        <v>Card</v>
      </c>
      <c r="Z113" t="s">
        <v>23</v>
      </c>
      <c r="AA113" t="str">
        <f t="shared" si="35"/>
        <v>Completed</v>
      </c>
      <c r="AC113" s="8"/>
      <c r="AD113" t="str">
        <f t="shared" si="40"/>
        <v>11/10/2024</v>
      </c>
      <c r="AE113" t="b">
        <f t="shared" si="41"/>
        <v>0</v>
      </c>
    </row>
    <row r="114" spans="1:31" x14ac:dyDescent="0.35">
      <c r="A114" t="s">
        <v>447</v>
      </c>
      <c r="B114" t="s">
        <v>448</v>
      </c>
      <c r="C114" s="1">
        <f t="shared" si="36"/>
        <v>45625</v>
      </c>
      <c r="D114" t="s">
        <v>449</v>
      </c>
      <c r="E114" t="s">
        <v>450</v>
      </c>
      <c r="F114" t="str">
        <f t="shared" si="37"/>
        <v>Christopher Howard</v>
      </c>
      <c r="G114" t="str">
        <f t="shared" si="38"/>
        <v>Christopher</v>
      </c>
      <c r="H114" t="str">
        <f t="shared" si="39"/>
        <v>Howard</v>
      </c>
      <c r="I114" t="s">
        <v>93</v>
      </c>
      <c r="J114" t="str">
        <f t="shared" si="27"/>
        <v>North</v>
      </c>
      <c r="K114" t="s">
        <v>18</v>
      </c>
      <c r="L114" t="str">
        <f t="shared" si="28"/>
        <v>London</v>
      </c>
      <c r="M114" t="s">
        <v>28</v>
      </c>
      <c r="N114" t="str">
        <f t="shared" si="29"/>
        <v>Office Supplies</v>
      </c>
      <c r="O114" t="s">
        <v>63</v>
      </c>
      <c r="P114" t="str">
        <f t="shared" si="30"/>
        <v>Pen</v>
      </c>
      <c r="Q114" s="5">
        <v>10</v>
      </c>
      <c r="R114">
        <v>960.29</v>
      </c>
      <c r="S114" s="6">
        <f t="shared" si="31"/>
        <v>960.29</v>
      </c>
      <c r="T114">
        <v>0.1</v>
      </c>
      <c r="U114" s="2">
        <f t="shared" si="32"/>
        <v>0.1</v>
      </c>
      <c r="V114">
        <v>627.91</v>
      </c>
      <c r="W114" s="2">
        <f t="shared" si="33"/>
        <v>627.91</v>
      </c>
      <c r="X114" t="s">
        <v>69</v>
      </c>
      <c r="Y114" t="str">
        <f t="shared" si="34"/>
        <v>Paypal</v>
      </c>
      <c r="Z114" t="s">
        <v>23</v>
      </c>
      <c r="AA114" t="str">
        <f t="shared" si="35"/>
        <v>Completed</v>
      </c>
      <c r="AC114" s="8"/>
      <c r="AD114" t="str">
        <f t="shared" si="40"/>
        <v>29/11/2024</v>
      </c>
      <c r="AE114" t="b">
        <f t="shared" si="41"/>
        <v>0</v>
      </c>
    </row>
    <row r="115" spans="1:31" x14ac:dyDescent="0.35">
      <c r="A115" t="s">
        <v>451</v>
      </c>
      <c r="B115" t="s">
        <v>452</v>
      </c>
      <c r="C115" s="1">
        <f t="shared" si="36"/>
        <v>45644</v>
      </c>
      <c r="D115" t="s">
        <v>115</v>
      </c>
      <c r="E115" t="s">
        <v>453</v>
      </c>
      <c r="F115" t="str">
        <f t="shared" si="37"/>
        <v>Cesar Savage</v>
      </c>
      <c r="G115" t="str">
        <f t="shared" si="38"/>
        <v>Cesar</v>
      </c>
      <c r="H115" t="str">
        <f t="shared" si="39"/>
        <v>Savage</v>
      </c>
      <c r="I115" t="s">
        <v>144</v>
      </c>
      <c r="J115" t="str">
        <f t="shared" si="27"/>
        <v>Midlands</v>
      </c>
      <c r="K115" t="s">
        <v>94</v>
      </c>
      <c r="L115" t="str">
        <f t="shared" si="28"/>
        <v>Birmingham</v>
      </c>
      <c r="M115" t="s">
        <v>54</v>
      </c>
      <c r="N115" t="str">
        <f t="shared" si="29"/>
        <v>Furniture</v>
      </c>
      <c r="O115" t="s">
        <v>74</v>
      </c>
      <c r="P115" t="str">
        <f t="shared" si="30"/>
        <v>Desk</v>
      </c>
      <c r="Q115" s="5">
        <v>8</v>
      </c>
      <c r="R115">
        <v>699.34</v>
      </c>
      <c r="S115" s="6">
        <f t="shared" si="31"/>
        <v>699.34</v>
      </c>
      <c r="T115">
        <v>0.2</v>
      </c>
      <c r="U115" s="2">
        <f t="shared" si="32"/>
        <v>0.2</v>
      </c>
      <c r="V115">
        <v>145.38</v>
      </c>
      <c r="W115" s="2">
        <f t="shared" si="33"/>
        <v>145.38</v>
      </c>
      <c r="X115" t="s">
        <v>22</v>
      </c>
      <c r="Y115" t="str">
        <f t="shared" si="34"/>
        <v>Cash</v>
      </c>
      <c r="Z115" t="s">
        <v>23</v>
      </c>
      <c r="AA115" t="str">
        <f t="shared" si="35"/>
        <v>Completed</v>
      </c>
      <c r="AC115" s="8"/>
      <c r="AD115" t="str">
        <f t="shared" si="40"/>
        <v>18/12/2024</v>
      </c>
      <c r="AE115" t="b">
        <f t="shared" si="41"/>
        <v>0</v>
      </c>
    </row>
    <row r="116" spans="1:31" x14ac:dyDescent="0.35">
      <c r="A116" t="s">
        <v>454</v>
      </c>
      <c r="B116" t="s">
        <v>455</v>
      </c>
      <c r="C116" s="1">
        <f t="shared" si="36"/>
        <v>45346</v>
      </c>
      <c r="D116" t="s">
        <v>200</v>
      </c>
      <c r="E116" t="s">
        <v>456</v>
      </c>
      <c r="F116" t="str">
        <f t="shared" si="37"/>
        <v>Dorothy Galloway</v>
      </c>
      <c r="G116" t="str">
        <f t="shared" si="38"/>
        <v>Dorothy</v>
      </c>
      <c r="H116" t="str">
        <f t="shared" si="39"/>
        <v>Galloway</v>
      </c>
      <c r="I116" t="s">
        <v>40</v>
      </c>
      <c r="J116" t="str">
        <f t="shared" si="27"/>
        <v>North</v>
      </c>
      <c r="K116" t="s">
        <v>41</v>
      </c>
      <c r="L116" t="str">
        <f t="shared" si="28"/>
        <v>Manchester</v>
      </c>
      <c r="M116" t="s">
        <v>28</v>
      </c>
      <c r="N116" t="str">
        <f t="shared" si="29"/>
        <v>Office Supplies</v>
      </c>
      <c r="O116" t="s">
        <v>153</v>
      </c>
      <c r="P116" t="str">
        <f t="shared" si="30"/>
        <v>Stapler</v>
      </c>
      <c r="Q116" s="5">
        <v>5</v>
      </c>
      <c r="R116">
        <v>215.61</v>
      </c>
      <c r="S116" s="6">
        <f t="shared" si="31"/>
        <v>215.61</v>
      </c>
      <c r="T116" t="s">
        <v>21</v>
      </c>
      <c r="U116" s="2">
        <f t="shared" si="32"/>
        <v>0.05</v>
      </c>
      <c r="V116">
        <v>945.49</v>
      </c>
      <c r="W116" s="2">
        <f t="shared" si="33"/>
        <v>945.49</v>
      </c>
      <c r="X116" t="s">
        <v>35</v>
      </c>
      <c r="Y116" t="str">
        <f t="shared" si="34"/>
        <v>Bank Transfer</v>
      </c>
      <c r="Z116" t="s">
        <v>23</v>
      </c>
      <c r="AA116" t="str">
        <f t="shared" si="35"/>
        <v>Completed</v>
      </c>
      <c r="AC116" s="8"/>
      <c r="AD116" t="str">
        <f t="shared" si="40"/>
        <v>2024/02/24</v>
      </c>
      <c r="AE116" t="b">
        <f t="shared" si="41"/>
        <v>0</v>
      </c>
    </row>
    <row r="117" spans="1:31" x14ac:dyDescent="0.35">
      <c r="A117" t="s">
        <v>457</v>
      </c>
      <c r="B117" t="s">
        <v>458</v>
      </c>
      <c r="C117" s="1">
        <f t="shared" si="36"/>
        <v>45555</v>
      </c>
      <c r="D117" t="s">
        <v>459</v>
      </c>
      <c r="E117" t="s">
        <v>460</v>
      </c>
      <c r="F117" t="str">
        <f t="shared" si="37"/>
        <v>Justin Smith</v>
      </c>
      <c r="G117" t="str">
        <f t="shared" si="38"/>
        <v>Justin</v>
      </c>
      <c r="H117" t="str">
        <f t="shared" si="39"/>
        <v>Smith</v>
      </c>
      <c r="I117" t="s">
        <v>47</v>
      </c>
      <c r="J117" t="str">
        <f t="shared" si="27"/>
        <v>East</v>
      </c>
      <c r="K117" t="s">
        <v>41</v>
      </c>
      <c r="L117" t="str">
        <f t="shared" si="28"/>
        <v>Manchester</v>
      </c>
      <c r="M117" t="s">
        <v>112</v>
      </c>
      <c r="N117" t="str">
        <f t="shared" si="29"/>
        <v>Technology</v>
      </c>
      <c r="O117" t="s">
        <v>88</v>
      </c>
      <c r="P117" t="str">
        <f t="shared" si="30"/>
        <v>Mouse</v>
      </c>
      <c r="Q117" s="5">
        <v>-8</v>
      </c>
      <c r="R117">
        <v>1418.12</v>
      </c>
      <c r="S117" s="6">
        <f t="shared" si="31"/>
        <v>1418.12</v>
      </c>
      <c r="T117">
        <v>0.05</v>
      </c>
      <c r="U117" s="2">
        <f t="shared" si="32"/>
        <v>0.05</v>
      </c>
      <c r="V117">
        <v>966.75</v>
      </c>
      <c r="W117" s="2">
        <f t="shared" si="33"/>
        <v>966.75</v>
      </c>
      <c r="X117" t="s">
        <v>69</v>
      </c>
      <c r="Y117" t="str">
        <f t="shared" si="34"/>
        <v>Paypal</v>
      </c>
      <c r="Z117" t="s">
        <v>56</v>
      </c>
      <c r="AA117" t="str">
        <f t="shared" si="35"/>
        <v>Cancelled</v>
      </c>
      <c r="AC117" s="8"/>
      <c r="AD117" t="str">
        <f t="shared" si="40"/>
        <v>09/20/2024</v>
      </c>
      <c r="AE117" t="b">
        <f t="shared" si="41"/>
        <v>1</v>
      </c>
    </row>
    <row r="118" spans="1:31" x14ac:dyDescent="0.35">
      <c r="A118" t="s">
        <v>461</v>
      </c>
      <c r="B118" t="s">
        <v>462</v>
      </c>
      <c r="C118" s="1">
        <f t="shared" si="36"/>
        <v>45725</v>
      </c>
      <c r="D118" t="s">
        <v>101</v>
      </c>
      <c r="E118" t="s">
        <v>463</v>
      </c>
      <c r="F118" t="str">
        <f t="shared" si="37"/>
        <v>Rachel Brown</v>
      </c>
      <c r="G118" t="str">
        <f t="shared" si="38"/>
        <v>Rachel</v>
      </c>
      <c r="H118" t="str">
        <f t="shared" si="39"/>
        <v>Brown</v>
      </c>
      <c r="I118" t="s">
        <v>83</v>
      </c>
      <c r="J118" t="str">
        <f t="shared" si="27"/>
        <v>South</v>
      </c>
      <c r="K118" t="s">
        <v>41</v>
      </c>
      <c r="L118" t="str">
        <f t="shared" si="28"/>
        <v>Manchester</v>
      </c>
      <c r="M118" t="s">
        <v>48</v>
      </c>
      <c r="N118" t="str">
        <f t="shared" si="29"/>
        <v>Technology</v>
      </c>
      <c r="O118" t="s">
        <v>20</v>
      </c>
      <c r="P118" t="str">
        <f t="shared" si="30"/>
        <v>Laptop</v>
      </c>
      <c r="Q118" s="5">
        <v>3</v>
      </c>
      <c r="R118">
        <v>1092.6199999999999</v>
      </c>
      <c r="S118" s="6">
        <f t="shared" si="31"/>
        <v>1092.6199999999999</v>
      </c>
      <c r="T118" t="s">
        <v>42</v>
      </c>
      <c r="U118" s="2">
        <f t="shared" si="32"/>
        <v>0.1</v>
      </c>
      <c r="V118">
        <v>367.21</v>
      </c>
      <c r="W118" s="2">
        <f t="shared" si="33"/>
        <v>367.21</v>
      </c>
      <c r="X118" t="s">
        <v>35</v>
      </c>
      <c r="Y118" t="str">
        <f t="shared" si="34"/>
        <v>Bank Transfer</v>
      </c>
      <c r="Z118" t="s">
        <v>23</v>
      </c>
      <c r="AA118" t="str">
        <f t="shared" si="35"/>
        <v>Completed</v>
      </c>
      <c r="AC118" s="8"/>
      <c r="AD118" t="str">
        <f t="shared" si="40"/>
        <v>09/03/2025</v>
      </c>
      <c r="AE118" t="b">
        <f t="shared" si="41"/>
        <v>0</v>
      </c>
    </row>
    <row r="119" spans="1:31" x14ac:dyDescent="0.35">
      <c r="A119" t="s">
        <v>464</v>
      </c>
      <c r="B119" t="s">
        <v>465</v>
      </c>
      <c r="C119" s="1">
        <f t="shared" si="36"/>
        <v>45522</v>
      </c>
      <c r="D119" t="s">
        <v>466</v>
      </c>
      <c r="E119" t="s">
        <v>467</v>
      </c>
      <c r="F119" t="str">
        <f t="shared" si="37"/>
        <v>Lisa Webb</v>
      </c>
      <c r="G119" t="str">
        <f t="shared" si="38"/>
        <v>Lisa</v>
      </c>
      <c r="H119" t="str">
        <f t="shared" si="39"/>
        <v>Webb</v>
      </c>
      <c r="I119" t="s">
        <v>40</v>
      </c>
      <c r="J119" t="str">
        <f t="shared" si="27"/>
        <v>North</v>
      </c>
      <c r="K119" t="s">
        <v>18</v>
      </c>
      <c r="L119" t="str">
        <f t="shared" si="28"/>
        <v>London</v>
      </c>
      <c r="M119" t="s">
        <v>54</v>
      </c>
      <c r="N119" t="str">
        <f t="shared" si="29"/>
        <v>Furniture</v>
      </c>
      <c r="O119" t="s">
        <v>68</v>
      </c>
      <c r="P119" t="str">
        <f t="shared" si="30"/>
        <v>Cabinet</v>
      </c>
      <c r="Q119" s="5">
        <v>10</v>
      </c>
      <c r="R119">
        <v>182.62</v>
      </c>
      <c r="S119" s="6">
        <f t="shared" si="31"/>
        <v>182.62</v>
      </c>
      <c r="T119">
        <v>0.1</v>
      </c>
      <c r="U119" s="2">
        <f t="shared" si="32"/>
        <v>0.1</v>
      </c>
      <c r="V119">
        <v>395.12</v>
      </c>
      <c r="W119" s="2">
        <f t="shared" si="33"/>
        <v>395.12</v>
      </c>
      <c r="X119" t="s">
        <v>69</v>
      </c>
      <c r="Y119" t="str">
        <f t="shared" si="34"/>
        <v>Paypal</v>
      </c>
      <c r="Z119" t="s">
        <v>23</v>
      </c>
      <c r="AA119" t="str">
        <f t="shared" si="35"/>
        <v>Completed</v>
      </c>
      <c r="AC119" s="8"/>
      <c r="AD119" t="str">
        <f t="shared" si="40"/>
        <v>2024/08/18</v>
      </c>
      <c r="AE119" t="b">
        <f t="shared" si="41"/>
        <v>0</v>
      </c>
    </row>
    <row r="120" spans="1:31" x14ac:dyDescent="0.35">
      <c r="A120" t="s">
        <v>468</v>
      </c>
      <c r="B120" t="s">
        <v>469</v>
      </c>
      <c r="C120" s="1">
        <f t="shared" si="36"/>
        <v>45599</v>
      </c>
      <c r="D120" t="s">
        <v>115</v>
      </c>
      <c r="E120" t="s">
        <v>470</v>
      </c>
      <c r="F120" t="str">
        <f t="shared" si="37"/>
        <v>Jessica Alvarez</v>
      </c>
      <c r="G120" t="str">
        <f t="shared" si="38"/>
        <v>Jessica</v>
      </c>
      <c r="H120" t="str">
        <f t="shared" si="39"/>
        <v>Alvarez</v>
      </c>
      <c r="I120" t="s">
        <v>18</v>
      </c>
      <c r="J120" t="str">
        <f t="shared" si="27"/>
        <v>London</v>
      </c>
      <c r="K120" t="s">
        <v>62</v>
      </c>
      <c r="L120" t="str">
        <f t="shared" si="28"/>
        <v>Leeds</v>
      </c>
      <c r="M120" t="s">
        <v>19</v>
      </c>
      <c r="N120" t="str">
        <f t="shared" si="29"/>
        <v>Technology</v>
      </c>
      <c r="O120" t="s">
        <v>20</v>
      </c>
      <c r="P120" t="str">
        <f t="shared" si="30"/>
        <v>Laptop</v>
      </c>
      <c r="Q120" s="5">
        <v>9</v>
      </c>
      <c r="R120">
        <v>911.36</v>
      </c>
      <c r="S120" s="6">
        <f t="shared" si="31"/>
        <v>911.36</v>
      </c>
      <c r="T120" t="s">
        <v>21</v>
      </c>
      <c r="U120" s="2">
        <f t="shared" si="32"/>
        <v>0.05</v>
      </c>
      <c r="V120">
        <v>329.31</v>
      </c>
      <c r="W120" s="2">
        <f t="shared" si="33"/>
        <v>329.31</v>
      </c>
      <c r="X120" t="s">
        <v>35</v>
      </c>
      <c r="Y120" t="str">
        <f t="shared" si="34"/>
        <v>Bank Transfer</v>
      </c>
      <c r="Z120" t="s">
        <v>56</v>
      </c>
      <c r="AA120" t="str">
        <f t="shared" si="35"/>
        <v>Cancelled</v>
      </c>
      <c r="AC120" s="8"/>
      <c r="AD120" t="str">
        <f t="shared" si="40"/>
        <v>03/11/2024</v>
      </c>
      <c r="AE120" t="b">
        <f t="shared" si="41"/>
        <v>0</v>
      </c>
    </row>
    <row r="121" spans="1:31" x14ac:dyDescent="0.35">
      <c r="A121" t="s">
        <v>471</v>
      </c>
      <c r="B121" t="s">
        <v>472</v>
      </c>
      <c r="C121" s="1">
        <f t="shared" si="36"/>
        <v>45535</v>
      </c>
      <c r="D121" t="s">
        <v>955</v>
      </c>
      <c r="E121" t="s">
        <v>473</v>
      </c>
      <c r="F121" t="str">
        <f t="shared" si="37"/>
        <v>Michelle Anderson</v>
      </c>
      <c r="G121" t="str">
        <f t="shared" si="38"/>
        <v>Michelle</v>
      </c>
      <c r="H121" t="str">
        <f t="shared" si="39"/>
        <v>Anderson</v>
      </c>
      <c r="I121" t="s">
        <v>93</v>
      </c>
      <c r="J121" t="str">
        <f t="shared" si="27"/>
        <v>North</v>
      </c>
      <c r="K121" t="s">
        <v>41</v>
      </c>
      <c r="L121" t="str">
        <f t="shared" si="28"/>
        <v>Manchester</v>
      </c>
      <c r="M121" t="s">
        <v>28</v>
      </c>
      <c r="N121" t="str">
        <f t="shared" si="29"/>
        <v>Office Supplies</v>
      </c>
      <c r="O121" t="s">
        <v>63</v>
      </c>
      <c r="P121" t="str">
        <f t="shared" si="30"/>
        <v>Pen</v>
      </c>
      <c r="Q121" s="5">
        <v>11</v>
      </c>
      <c r="R121">
        <v>627.73</v>
      </c>
      <c r="S121" s="6">
        <f t="shared" si="31"/>
        <v>627.73</v>
      </c>
      <c r="T121">
        <v>0.2</v>
      </c>
      <c r="U121" s="2">
        <f t="shared" si="32"/>
        <v>0.2</v>
      </c>
      <c r="V121">
        <v>898.97</v>
      </c>
      <c r="W121" s="2">
        <f t="shared" si="33"/>
        <v>898.97</v>
      </c>
      <c r="X121" t="s">
        <v>22</v>
      </c>
      <c r="Y121" t="str">
        <f t="shared" si="34"/>
        <v>Cash</v>
      </c>
      <c r="Z121" t="s">
        <v>23</v>
      </c>
      <c r="AA121" t="str">
        <f t="shared" si="35"/>
        <v>Completed</v>
      </c>
      <c r="AC121" s="8"/>
      <c r="AD121" t="str">
        <f t="shared" si="40"/>
        <v>2024/08/31</v>
      </c>
      <c r="AE121" t="b">
        <f t="shared" si="41"/>
        <v>0</v>
      </c>
    </row>
    <row r="122" spans="1:31" x14ac:dyDescent="0.35">
      <c r="A122" t="s">
        <v>474</v>
      </c>
      <c r="B122" t="s">
        <v>475</v>
      </c>
      <c r="C122" s="1">
        <f t="shared" si="36"/>
        <v>45379</v>
      </c>
      <c r="D122" t="s">
        <v>476</v>
      </c>
      <c r="E122" t="s">
        <v>477</v>
      </c>
      <c r="F122" t="str">
        <f t="shared" si="37"/>
        <v>Barbara Chapman</v>
      </c>
      <c r="G122" t="str">
        <f t="shared" si="38"/>
        <v>Barbara</v>
      </c>
      <c r="H122" t="str">
        <f t="shared" si="39"/>
        <v>Chapman</v>
      </c>
      <c r="I122" t="s">
        <v>93</v>
      </c>
      <c r="J122" t="str">
        <f t="shared" si="27"/>
        <v>North</v>
      </c>
      <c r="K122" t="s">
        <v>41</v>
      </c>
      <c r="L122" t="str">
        <f t="shared" si="28"/>
        <v>Manchester</v>
      </c>
      <c r="M122" t="s">
        <v>28</v>
      </c>
      <c r="N122" t="str">
        <f t="shared" si="29"/>
        <v>Office Supplies</v>
      </c>
      <c r="O122" t="s">
        <v>63</v>
      </c>
      <c r="P122" t="str">
        <f t="shared" si="30"/>
        <v>Pen</v>
      </c>
      <c r="Q122" s="5">
        <v>13</v>
      </c>
      <c r="R122">
        <v>225.92</v>
      </c>
      <c r="S122" s="6">
        <f t="shared" si="31"/>
        <v>225.92</v>
      </c>
      <c r="T122">
        <v>0.2</v>
      </c>
      <c r="U122" s="2">
        <f t="shared" si="32"/>
        <v>0.2</v>
      </c>
      <c r="V122">
        <v>33.51</v>
      </c>
      <c r="W122" s="2">
        <f t="shared" si="33"/>
        <v>33.51</v>
      </c>
      <c r="X122" t="s">
        <v>69</v>
      </c>
      <c r="Y122" t="str">
        <f t="shared" si="34"/>
        <v>Paypal</v>
      </c>
      <c r="Z122" t="s">
        <v>23</v>
      </c>
      <c r="AA122" t="str">
        <f t="shared" si="35"/>
        <v>Completed</v>
      </c>
      <c r="AC122" s="8"/>
      <c r="AD122" t="str">
        <f t="shared" si="40"/>
        <v>03/28/2024</v>
      </c>
      <c r="AE122" t="b">
        <f t="shared" si="41"/>
        <v>1</v>
      </c>
    </row>
    <row r="123" spans="1:31" x14ac:dyDescent="0.35">
      <c r="A123" t="s">
        <v>478</v>
      </c>
      <c r="B123" t="s">
        <v>479</v>
      </c>
      <c r="C123" s="1">
        <f t="shared" si="36"/>
        <v>45396</v>
      </c>
      <c r="D123" t="s">
        <v>133</v>
      </c>
      <c r="E123" t="s">
        <v>480</v>
      </c>
      <c r="F123" t="str">
        <f t="shared" si="37"/>
        <v>Sharon Adams</v>
      </c>
      <c r="G123" t="str">
        <f t="shared" si="38"/>
        <v>Sharon</v>
      </c>
      <c r="H123" t="str">
        <f t="shared" si="39"/>
        <v>Adams</v>
      </c>
      <c r="I123" t="s">
        <v>93</v>
      </c>
      <c r="J123" t="str">
        <f t="shared" si="27"/>
        <v>North</v>
      </c>
      <c r="K123" t="s">
        <v>62</v>
      </c>
      <c r="L123" t="str">
        <f t="shared" si="28"/>
        <v>Leeds</v>
      </c>
      <c r="M123" t="s">
        <v>54</v>
      </c>
      <c r="N123" t="str">
        <f t="shared" si="29"/>
        <v>Furniture</v>
      </c>
      <c r="O123" t="s">
        <v>68</v>
      </c>
      <c r="P123" t="str">
        <f t="shared" si="30"/>
        <v>Cabinet</v>
      </c>
      <c r="Q123" s="5">
        <v>15</v>
      </c>
      <c r="R123">
        <v>1273.32</v>
      </c>
      <c r="S123" s="6">
        <f t="shared" si="31"/>
        <v>1273.32</v>
      </c>
      <c r="T123" t="s">
        <v>21</v>
      </c>
      <c r="U123" s="2">
        <f t="shared" si="32"/>
        <v>0.05</v>
      </c>
      <c r="V123">
        <v>706.36</v>
      </c>
      <c r="W123" s="2">
        <f t="shared" si="33"/>
        <v>706.36</v>
      </c>
      <c r="X123" t="s">
        <v>69</v>
      </c>
      <c r="Y123" t="str">
        <f t="shared" si="34"/>
        <v>Paypal</v>
      </c>
      <c r="Z123" t="s">
        <v>23</v>
      </c>
      <c r="AA123" t="str">
        <f t="shared" si="35"/>
        <v>Completed</v>
      </c>
      <c r="AC123" s="8"/>
      <c r="AD123" t="str">
        <f t="shared" si="40"/>
        <v>04/14/2024</v>
      </c>
      <c r="AE123" t="b">
        <f t="shared" si="41"/>
        <v>1</v>
      </c>
    </row>
    <row r="124" spans="1:31" x14ac:dyDescent="0.35">
      <c r="A124" t="s">
        <v>481</v>
      </c>
      <c r="B124" t="s">
        <v>482</v>
      </c>
      <c r="C124" s="1">
        <f t="shared" si="36"/>
        <v>45995</v>
      </c>
      <c r="D124" t="s">
        <v>409</v>
      </c>
      <c r="E124" t="s">
        <v>483</v>
      </c>
      <c r="F124" t="str">
        <f t="shared" si="37"/>
        <v>Hayley Walker</v>
      </c>
      <c r="G124" t="str">
        <f t="shared" si="38"/>
        <v>Hayley</v>
      </c>
      <c r="H124" t="str">
        <f t="shared" si="39"/>
        <v>Walker</v>
      </c>
      <c r="I124" t="s">
        <v>83</v>
      </c>
      <c r="J124" t="str">
        <f t="shared" si="27"/>
        <v>South</v>
      </c>
      <c r="K124" t="s">
        <v>41</v>
      </c>
      <c r="L124" t="str">
        <f t="shared" si="28"/>
        <v>Manchester</v>
      </c>
      <c r="M124" t="s">
        <v>112</v>
      </c>
      <c r="N124" t="str">
        <f t="shared" si="29"/>
        <v>Technology</v>
      </c>
      <c r="O124" t="s">
        <v>88</v>
      </c>
      <c r="P124" t="str">
        <f t="shared" si="30"/>
        <v>Mouse</v>
      </c>
      <c r="Q124" s="5">
        <v>11</v>
      </c>
      <c r="R124">
        <v>1082.78</v>
      </c>
      <c r="S124" s="6">
        <f t="shared" si="31"/>
        <v>1082.78</v>
      </c>
      <c r="T124" t="s">
        <v>21</v>
      </c>
      <c r="U124" s="2">
        <f t="shared" si="32"/>
        <v>0.05</v>
      </c>
      <c r="V124">
        <v>693.93</v>
      </c>
      <c r="W124" s="2">
        <f t="shared" si="33"/>
        <v>693.93</v>
      </c>
      <c r="X124" t="s">
        <v>35</v>
      </c>
      <c r="Y124" t="str">
        <f t="shared" si="34"/>
        <v>Bank Transfer</v>
      </c>
      <c r="Z124" t="s">
        <v>23</v>
      </c>
      <c r="AA124" t="str">
        <f t="shared" si="35"/>
        <v>Completed</v>
      </c>
      <c r="AC124" s="8"/>
      <c r="AD124" t="str">
        <f t="shared" si="40"/>
        <v>04/12/2025</v>
      </c>
      <c r="AE124" t="b">
        <f t="shared" si="41"/>
        <v>0</v>
      </c>
    </row>
    <row r="125" spans="1:31" x14ac:dyDescent="0.35">
      <c r="A125" t="s">
        <v>484</v>
      </c>
      <c r="B125" t="s">
        <v>485</v>
      </c>
      <c r="C125" s="1">
        <f t="shared" si="36"/>
        <v>45652</v>
      </c>
      <c r="D125" t="s">
        <v>486</v>
      </c>
      <c r="E125" t="s">
        <v>487</v>
      </c>
      <c r="F125" t="str">
        <f t="shared" si="37"/>
        <v>Alexa Vasquez</v>
      </c>
      <c r="G125" t="str">
        <f t="shared" si="38"/>
        <v>Alexa</v>
      </c>
      <c r="H125" t="str">
        <f t="shared" si="39"/>
        <v>Vasquez</v>
      </c>
      <c r="I125" t="s">
        <v>61</v>
      </c>
      <c r="J125" t="str">
        <f t="shared" si="27"/>
        <v>East</v>
      </c>
      <c r="K125" t="s">
        <v>94</v>
      </c>
      <c r="L125" t="str">
        <f t="shared" si="28"/>
        <v>Birmingham</v>
      </c>
      <c r="M125" t="s">
        <v>48</v>
      </c>
      <c r="N125" t="str">
        <f t="shared" si="29"/>
        <v>Technology</v>
      </c>
      <c r="O125" t="s">
        <v>158</v>
      </c>
      <c r="P125" t="str">
        <f t="shared" si="30"/>
        <v>Keyboard</v>
      </c>
      <c r="Q125" s="5">
        <v>12</v>
      </c>
      <c r="R125">
        <v>722.31</v>
      </c>
      <c r="S125" s="6">
        <f t="shared" si="31"/>
        <v>722.31</v>
      </c>
      <c r="T125">
        <v>0.2</v>
      </c>
      <c r="U125" s="2">
        <f t="shared" si="32"/>
        <v>0.2</v>
      </c>
      <c r="V125">
        <v>934.62</v>
      </c>
      <c r="W125" s="2">
        <f t="shared" si="33"/>
        <v>934.62</v>
      </c>
      <c r="X125" t="s">
        <v>35</v>
      </c>
      <c r="Y125" t="str">
        <f t="shared" si="34"/>
        <v>Bank Transfer</v>
      </c>
      <c r="Z125" t="s">
        <v>23</v>
      </c>
      <c r="AA125" t="str">
        <f t="shared" si="35"/>
        <v>Completed</v>
      </c>
      <c r="AC125" s="8"/>
      <c r="AD125" t="str">
        <f t="shared" si="40"/>
        <v>26/12/2024</v>
      </c>
      <c r="AE125" t="b">
        <f t="shared" si="41"/>
        <v>0</v>
      </c>
    </row>
    <row r="126" spans="1:31" x14ac:dyDescent="0.35">
      <c r="A126" t="s">
        <v>488</v>
      </c>
      <c r="B126" t="s">
        <v>489</v>
      </c>
      <c r="C126" s="1">
        <f t="shared" si="36"/>
        <v>45439</v>
      </c>
      <c r="D126" t="s">
        <v>175</v>
      </c>
      <c r="E126" t="s">
        <v>490</v>
      </c>
      <c r="F126" t="str">
        <f t="shared" si="37"/>
        <v>Joseph Hernandez</v>
      </c>
      <c r="G126" t="str">
        <f t="shared" si="38"/>
        <v>Joseph</v>
      </c>
      <c r="H126" t="str">
        <f t="shared" si="39"/>
        <v>Hernandez</v>
      </c>
      <c r="I126" t="s">
        <v>18</v>
      </c>
      <c r="J126" t="str">
        <f t="shared" si="27"/>
        <v>London</v>
      </c>
      <c r="K126" t="s">
        <v>18</v>
      </c>
      <c r="L126" t="str">
        <f t="shared" si="28"/>
        <v>London</v>
      </c>
      <c r="M126" t="s">
        <v>48</v>
      </c>
      <c r="N126" t="str">
        <f t="shared" si="29"/>
        <v>Technology</v>
      </c>
      <c r="O126" t="s">
        <v>20</v>
      </c>
      <c r="P126" t="str">
        <f t="shared" si="30"/>
        <v>Laptop</v>
      </c>
      <c r="Q126" s="5">
        <v>15</v>
      </c>
      <c r="R126">
        <v>388.38</v>
      </c>
      <c r="S126" s="6">
        <f t="shared" si="31"/>
        <v>388.38</v>
      </c>
      <c r="T126" t="s">
        <v>21</v>
      </c>
      <c r="U126" s="2">
        <f t="shared" si="32"/>
        <v>0.05</v>
      </c>
      <c r="V126">
        <v>203.66</v>
      </c>
      <c r="W126" s="2">
        <f t="shared" si="33"/>
        <v>203.66</v>
      </c>
      <c r="X126" t="s">
        <v>49</v>
      </c>
      <c r="Y126" t="str">
        <f t="shared" si="34"/>
        <v>Card</v>
      </c>
      <c r="Z126" t="s">
        <v>23</v>
      </c>
      <c r="AA126" t="str">
        <f t="shared" si="35"/>
        <v>Completed</v>
      </c>
      <c r="AC126" s="8"/>
      <c r="AD126" t="str">
        <f t="shared" si="40"/>
        <v>2024/05/27</v>
      </c>
      <c r="AE126" t="b">
        <f t="shared" si="41"/>
        <v>0</v>
      </c>
    </row>
    <row r="127" spans="1:31" x14ac:dyDescent="0.35">
      <c r="A127" t="s">
        <v>491</v>
      </c>
      <c r="B127" t="s">
        <v>492</v>
      </c>
      <c r="C127" s="1">
        <f t="shared" si="36"/>
        <v>45634</v>
      </c>
      <c r="D127" t="s">
        <v>493</v>
      </c>
      <c r="E127" t="s">
        <v>494</v>
      </c>
      <c r="F127" t="str">
        <f t="shared" si="37"/>
        <v>Michael Moore</v>
      </c>
      <c r="G127" t="str">
        <f t="shared" si="38"/>
        <v>Michael</v>
      </c>
      <c r="H127" t="str">
        <f t="shared" si="39"/>
        <v>Moore</v>
      </c>
      <c r="I127" t="s">
        <v>40</v>
      </c>
      <c r="J127" t="str">
        <f t="shared" si="27"/>
        <v>North</v>
      </c>
      <c r="K127" t="s">
        <v>94</v>
      </c>
      <c r="L127" t="str">
        <f t="shared" si="28"/>
        <v>Birmingham</v>
      </c>
      <c r="M127" t="s">
        <v>112</v>
      </c>
      <c r="N127" t="str">
        <f t="shared" si="29"/>
        <v>Technology</v>
      </c>
      <c r="O127" t="s">
        <v>20</v>
      </c>
      <c r="P127" t="str">
        <f t="shared" si="30"/>
        <v>Laptop</v>
      </c>
      <c r="Q127" s="5">
        <v>4</v>
      </c>
      <c r="R127">
        <v>622.89</v>
      </c>
      <c r="S127" s="6">
        <f t="shared" si="31"/>
        <v>622.89</v>
      </c>
      <c r="T127">
        <v>0.05</v>
      </c>
      <c r="U127" s="2">
        <f t="shared" si="32"/>
        <v>0.05</v>
      </c>
      <c r="V127">
        <v>102.34</v>
      </c>
      <c r="W127" s="2">
        <f t="shared" si="33"/>
        <v>102.34</v>
      </c>
      <c r="X127" t="s">
        <v>69</v>
      </c>
      <c r="Y127" t="str">
        <f t="shared" si="34"/>
        <v>Paypal</v>
      </c>
      <c r="Z127" t="s">
        <v>56</v>
      </c>
      <c r="AA127" t="str">
        <f t="shared" si="35"/>
        <v>Cancelled</v>
      </c>
      <c r="AC127" s="8"/>
      <c r="AD127" t="str">
        <f t="shared" si="40"/>
        <v>2024/12/08</v>
      </c>
      <c r="AE127" t="b">
        <f t="shared" si="41"/>
        <v>0</v>
      </c>
    </row>
    <row r="128" spans="1:31" x14ac:dyDescent="0.35">
      <c r="A128" t="s">
        <v>495</v>
      </c>
      <c r="B128" t="s">
        <v>496</v>
      </c>
      <c r="C128" s="1">
        <f t="shared" si="36"/>
        <v>45456</v>
      </c>
      <c r="D128" t="s">
        <v>147</v>
      </c>
      <c r="E128" t="s">
        <v>497</v>
      </c>
      <c r="F128" t="str">
        <f t="shared" si="37"/>
        <v>Tammy Chan</v>
      </c>
      <c r="G128" t="str">
        <f t="shared" si="38"/>
        <v>Tammy</v>
      </c>
      <c r="H128" t="str">
        <f t="shared" si="39"/>
        <v>Chan</v>
      </c>
      <c r="I128" t="s">
        <v>40</v>
      </c>
      <c r="J128" t="str">
        <f t="shared" si="27"/>
        <v>North</v>
      </c>
      <c r="K128" t="s">
        <v>94</v>
      </c>
      <c r="L128" t="str">
        <f t="shared" si="28"/>
        <v>Birmingham</v>
      </c>
      <c r="M128" t="s">
        <v>112</v>
      </c>
      <c r="N128" t="str">
        <f t="shared" si="29"/>
        <v>Technology</v>
      </c>
      <c r="O128" t="s">
        <v>158</v>
      </c>
      <c r="P128" t="str">
        <f t="shared" si="30"/>
        <v>Keyboard</v>
      </c>
      <c r="Q128" s="5">
        <v>1</v>
      </c>
      <c r="R128">
        <v>138.74</v>
      </c>
      <c r="S128" s="6">
        <f t="shared" si="31"/>
        <v>138.74</v>
      </c>
      <c r="T128">
        <v>0.2</v>
      </c>
      <c r="U128" s="2">
        <f t="shared" si="32"/>
        <v>0.2</v>
      </c>
      <c r="V128">
        <v>536.08000000000004</v>
      </c>
      <c r="W128" s="2">
        <f t="shared" si="33"/>
        <v>536.08000000000004</v>
      </c>
      <c r="X128" t="s">
        <v>22</v>
      </c>
      <c r="Y128" t="str">
        <f t="shared" si="34"/>
        <v>Cash</v>
      </c>
      <c r="Z128" t="s">
        <v>23</v>
      </c>
      <c r="AA128" t="str">
        <f t="shared" si="35"/>
        <v>Completed</v>
      </c>
      <c r="AC128" s="8"/>
      <c r="AD128" t="str">
        <f t="shared" si="40"/>
        <v>13/06/2024</v>
      </c>
      <c r="AE128" t="b">
        <f t="shared" si="41"/>
        <v>0</v>
      </c>
    </row>
    <row r="129" spans="1:31" x14ac:dyDescent="0.35">
      <c r="A129" t="s">
        <v>498</v>
      </c>
      <c r="B129" t="s">
        <v>499</v>
      </c>
      <c r="C129" s="1">
        <f t="shared" si="36"/>
        <v>45416</v>
      </c>
      <c r="D129" t="s">
        <v>106</v>
      </c>
      <c r="E129" t="s">
        <v>480</v>
      </c>
      <c r="F129" t="str">
        <f t="shared" si="37"/>
        <v>Sharon Adams</v>
      </c>
      <c r="G129" t="str">
        <f t="shared" si="38"/>
        <v>Sharon</v>
      </c>
      <c r="H129" t="str">
        <f t="shared" si="39"/>
        <v>Adams</v>
      </c>
      <c r="I129" t="s">
        <v>93</v>
      </c>
      <c r="J129" t="str">
        <f t="shared" si="27"/>
        <v>North</v>
      </c>
      <c r="K129" t="s">
        <v>18</v>
      </c>
      <c r="L129" t="str">
        <f t="shared" si="28"/>
        <v>London</v>
      </c>
      <c r="M129" t="s">
        <v>54</v>
      </c>
      <c r="N129" t="str">
        <f t="shared" si="29"/>
        <v>Furniture</v>
      </c>
      <c r="O129" t="s">
        <v>55</v>
      </c>
      <c r="P129" t="str">
        <f t="shared" si="30"/>
        <v>Chair</v>
      </c>
      <c r="Q129" s="5">
        <v>15</v>
      </c>
      <c r="R129">
        <v>61.01</v>
      </c>
      <c r="S129" s="6">
        <f t="shared" si="31"/>
        <v>61.01</v>
      </c>
      <c r="T129">
        <v>0.1</v>
      </c>
      <c r="U129" s="2">
        <f t="shared" si="32"/>
        <v>0.1</v>
      </c>
      <c r="V129">
        <v>603.58000000000004</v>
      </c>
      <c r="W129" s="2">
        <f t="shared" si="33"/>
        <v>603.58000000000004</v>
      </c>
      <c r="X129" t="s">
        <v>69</v>
      </c>
      <c r="Y129" t="str">
        <f t="shared" si="34"/>
        <v>Paypal</v>
      </c>
      <c r="Z129" t="s">
        <v>23</v>
      </c>
      <c r="AA129" t="str">
        <f t="shared" si="35"/>
        <v>Completed</v>
      </c>
      <c r="AC129" s="8"/>
      <c r="AD129" t="str">
        <f t="shared" si="40"/>
        <v>04/05/2024</v>
      </c>
      <c r="AE129" t="b">
        <f t="shared" si="41"/>
        <v>0</v>
      </c>
    </row>
    <row r="130" spans="1:31" x14ac:dyDescent="0.35">
      <c r="A130" t="s">
        <v>500</v>
      </c>
      <c r="B130" t="s">
        <v>501</v>
      </c>
      <c r="C130" s="1">
        <f t="shared" ref="C130:C161" si="42" xml:space="preserve"> IF( MID(AD130,5,1) = "/", DATE( LEFT(AD130,4), MID(AD130,6,2), RIGHT(AD130,2)),  IF(VALUE(MID(AD130,FIND("/",AD130)+1,2)) &gt; 12, DATE(RIGHT(AD130,4), LEFT(AD130,2),MID(AD130,4,2) ),DATE( RIGHT(AD130,4), MID(AD130,4,2), LEFT(AD130,2))) )</f>
        <v>45461</v>
      </c>
      <c r="D130" t="s">
        <v>77</v>
      </c>
      <c r="E130" t="s">
        <v>502</v>
      </c>
      <c r="F130" t="str">
        <f t="shared" ref="F130:F161" si="43">TRIM(SUBSTITUTE(SUBSTITUTE(SUBSTITUTE(SUBSTITUTE(SUBSTITUTE(SUBSTITUTE(SUBSTITUTE(SUBSTITUTE(E130,"Dr. ","")," MD","")," PhD","")," DDS","")," DVM",""),"Mr. ",""),"Miss ",""),"Md",""))</f>
        <v>Lisa Kennedy</v>
      </c>
      <c r="G130" t="str">
        <f t="shared" ref="G130:G161" si="44">TRIM(PROPER(_xlfn.TEXTBEFORE(F130," ",1)))</f>
        <v>Lisa</v>
      </c>
      <c r="H130" t="str">
        <f t="shared" ref="H130:H161" si="45">PROPER(TRIM(_xlfn.TEXTAFTER(F130," ",-1)))</f>
        <v>Kennedy</v>
      </c>
      <c r="I130" t="s">
        <v>83</v>
      </c>
      <c r="J130" t="str">
        <f t="shared" si="27"/>
        <v>South</v>
      </c>
      <c r="K130" t="s">
        <v>18</v>
      </c>
      <c r="L130" t="str">
        <f t="shared" si="28"/>
        <v>London</v>
      </c>
      <c r="M130" t="s">
        <v>112</v>
      </c>
      <c r="N130" t="str">
        <f t="shared" si="29"/>
        <v>Technology</v>
      </c>
      <c r="O130" t="s">
        <v>20</v>
      </c>
      <c r="P130" t="str">
        <f t="shared" si="30"/>
        <v>Laptop</v>
      </c>
      <c r="Q130" s="5">
        <v>8</v>
      </c>
      <c r="S130" s="6">
        <f t="shared" si="31"/>
        <v>0</v>
      </c>
      <c r="T130">
        <v>0.1</v>
      </c>
      <c r="U130" s="2">
        <f t="shared" si="32"/>
        <v>0.1</v>
      </c>
      <c r="V130">
        <v>338.44</v>
      </c>
      <c r="W130" s="2">
        <f t="shared" si="33"/>
        <v>338.44</v>
      </c>
      <c r="X130" t="s">
        <v>69</v>
      </c>
      <c r="Y130" t="str">
        <f t="shared" si="34"/>
        <v>Paypal</v>
      </c>
      <c r="Z130" t="s">
        <v>56</v>
      </c>
      <c r="AA130" t="str">
        <f t="shared" si="35"/>
        <v>Cancelled</v>
      </c>
      <c r="AC130" s="8"/>
      <c r="AD130" t="str">
        <f t="shared" ref="AD130:AD161" si="46">SUBSTITUTE(B130,"-","/")</f>
        <v>18/06/2024</v>
      </c>
      <c r="AE130" t="b">
        <f t="shared" ref="AE130:AE161" si="47">VALUE(MID(AD130,FIND("/",AD130)+1,2)) &gt; 12</f>
        <v>0</v>
      </c>
    </row>
    <row r="131" spans="1:31" x14ac:dyDescent="0.35">
      <c r="A131" t="s">
        <v>503</v>
      </c>
      <c r="B131" t="s">
        <v>504</v>
      </c>
      <c r="C131" s="1">
        <f t="shared" si="42"/>
        <v>45336</v>
      </c>
      <c r="D131" t="s">
        <v>81</v>
      </c>
      <c r="E131" t="s">
        <v>505</v>
      </c>
      <c r="F131" t="str">
        <f t="shared" si="43"/>
        <v>Matthew Snyder</v>
      </c>
      <c r="G131" t="str">
        <f t="shared" si="44"/>
        <v>Matthew</v>
      </c>
      <c r="H131" t="str">
        <f t="shared" si="45"/>
        <v>Snyder</v>
      </c>
      <c r="I131" t="s">
        <v>144</v>
      </c>
      <c r="J131" t="str">
        <f t="shared" ref="J131:J194" si="48">PROPER(TRIM(I131))</f>
        <v>Midlands</v>
      </c>
      <c r="K131" t="s">
        <v>41</v>
      </c>
      <c r="L131" t="str">
        <f t="shared" ref="L131:L194" si="49">PROPER(TRIM(K131))</f>
        <v>Manchester</v>
      </c>
      <c r="M131" t="s">
        <v>28</v>
      </c>
      <c r="N131" t="str">
        <f t="shared" ref="N131:N194" si="50">IF(PROPER(TRIM(M131)) = "Tech","Technology", PROPER(TRIM(M131)))</f>
        <v>Office Supplies</v>
      </c>
      <c r="O131" t="s">
        <v>63</v>
      </c>
      <c r="P131" t="str">
        <f t="shared" ref="P131:P194" si="51">PROPER(TRIM(O131))</f>
        <v>Pen</v>
      </c>
      <c r="Q131" s="5">
        <v>3</v>
      </c>
      <c r="S131" s="6">
        <f t="shared" ref="S131:S194" si="52">IF(R131=" ", 0, R131)</f>
        <v>0</v>
      </c>
      <c r="T131" t="s">
        <v>42</v>
      </c>
      <c r="U131" s="2">
        <f t="shared" ref="U131:U194" si="53">VALUE(T131)</f>
        <v>0.1</v>
      </c>
      <c r="V131">
        <v>384.81</v>
      </c>
      <c r="W131" s="2">
        <f t="shared" ref="W131:W194" si="54">ROUND(VALUE(V131),2)</f>
        <v>384.81</v>
      </c>
      <c r="X131" t="s">
        <v>49</v>
      </c>
      <c r="Y131" t="str">
        <f t="shared" ref="Y131:Y194" si="55">PROPER(TRIM(X131))</f>
        <v>Card</v>
      </c>
      <c r="Z131" t="s">
        <v>23</v>
      </c>
      <c r="AA131" t="str">
        <f t="shared" ref="AA131:AA194" si="56">PROPER(TRIM(Z131))</f>
        <v>Completed</v>
      </c>
      <c r="AC131" s="8"/>
      <c r="AD131" t="str">
        <f t="shared" si="46"/>
        <v>2024/02/14</v>
      </c>
      <c r="AE131" t="b">
        <f t="shared" si="47"/>
        <v>0</v>
      </c>
    </row>
    <row r="132" spans="1:31" x14ac:dyDescent="0.35">
      <c r="A132" t="s">
        <v>506</v>
      </c>
      <c r="B132" t="s">
        <v>507</v>
      </c>
      <c r="C132" s="1">
        <f t="shared" si="42"/>
        <v>45323</v>
      </c>
      <c r="D132" t="s">
        <v>416</v>
      </c>
      <c r="E132" t="s">
        <v>508</v>
      </c>
      <c r="F132" t="str">
        <f t="shared" si="43"/>
        <v>Justin Hutchinson</v>
      </c>
      <c r="G132" t="str">
        <f t="shared" si="44"/>
        <v>Justin</v>
      </c>
      <c r="H132" t="str">
        <f t="shared" si="45"/>
        <v>Hutchinson</v>
      </c>
      <c r="I132" t="s">
        <v>18</v>
      </c>
      <c r="J132" t="str">
        <f t="shared" si="48"/>
        <v>London</v>
      </c>
      <c r="K132" t="s">
        <v>41</v>
      </c>
      <c r="L132" t="str">
        <f t="shared" si="49"/>
        <v>Manchester</v>
      </c>
      <c r="M132" t="s">
        <v>48</v>
      </c>
      <c r="N132" t="str">
        <f t="shared" si="50"/>
        <v>Technology</v>
      </c>
      <c r="O132" t="s">
        <v>135</v>
      </c>
      <c r="P132" t="str">
        <f t="shared" si="51"/>
        <v>Monitor</v>
      </c>
      <c r="Q132" s="5">
        <v>3</v>
      </c>
      <c r="R132">
        <v>756.27</v>
      </c>
      <c r="S132" s="6">
        <f t="shared" si="52"/>
        <v>756.27</v>
      </c>
      <c r="T132">
        <v>0.1</v>
      </c>
      <c r="U132" s="2">
        <f t="shared" si="53"/>
        <v>0.1</v>
      </c>
      <c r="V132">
        <v>704.15</v>
      </c>
      <c r="W132" s="2">
        <f t="shared" si="54"/>
        <v>704.15</v>
      </c>
      <c r="X132" t="s">
        <v>22</v>
      </c>
      <c r="Y132" t="str">
        <f t="shared" si="55"/>
        <v>Cash</v>
      </c>
      <c r="Z132" t="s">
        <v>23</v>
      </c>
      <c r="AA132" t="str">
        <f t="shared" si="56"/>
        <v>Completed</v>
      </c>
      <c r="AC132" s="8"/>
      <c r="AD132" t="str">
        <f t="shared" si="46"/>
        <v>2024/02/01</v>
      </c>
      <c r="AE132" t="b">
        <f t="shared" si="47"/>
        <v>0</v>
      </c>
    </row>
    <row r="133" spans="1:31" x14ac:dyDescent="0.35">
      <c r="A133" t="s">
        <v>509</v>
      </c>
      <c r="B133" t="s">
        <v>510</v>
      </c>
      <c r="C133" s="1">
        <f t="shared" si="42"/>
        <v>45370</v>
      </c>
      <c r="D133" t="s">
        <v>344</v>
      </c>
      <c r="E133" t="s">
        <v>511</v>
      </c>
      <c r="F133" t="str">
        <f t="shared" si="43"/>
        <v>Isaac Schroeder</v>
      </c>
      <c r="G133" t="str">
        <f t="shared" si="44"/>
        <v>Isaac</v>
      </c>
      <c r="H133" t="str">
        <f t="shared" si="45"/>
        <v>Schroeder</v>
      </c>
      <c r="I133" t="s">
        <v>17</v>
      </c>
      <c r="J133" t="str">
        <f t="shared" si="48"/>
        <v>West</v>
      </c>
      <c r="K133" t="s">
        <v>62</v>
      </c>
      <c r="L133" t="str">
        <f t="shared" si="49"/>
        <v>Leeds</v>
      </c>
      <c r="M133" t="s">
        <v>112</v>
      </c>
      <c r="N133" t="str">
        <f t="shared" si="50"/>
        <v>Technology</v>
      </c>
      <c r="O133" t="s">
        <v>88</v>
      </c>
      <c r="P133" t="str">
        <f t="shared" si="51"/>
        <v>Mouse</v>
      </c>
      <c r="Q133" s="5">
        <v>6</v>
      </c>
      <c r="R133">
        <v>826.11</v>
      </c>
      <c r="S133" s="6">
        <f t="shared" si="52"/>
        <v>826.11</v>
      </c>
      <c r="T133">
        <v>0.2</v>
      </c>
      <c r="U133" s="2">
        <f t="shared" si="53"/>
        <v>0.2</v>
      </c>
      <c r="V133">
        <v>538.44000000000005</v>
      </c>
      <c r="W133" s="2">
        <f t="shared" si="54"/>
        <v>538.44000000000005</v>
      </c>
      <c r="X133" t="s">
        <v>69</v>
      </c>
      <c r="Y133" t="str">
        <f t="shared" si="55"/>
        <v>Paypal</v>
      </c>
      <c r="Z133" t="s">
        <v>23</v>
      </c>
      <c r="AA133" t="str">
        <f t="shared" si="56"/>
        <v>Completed</v>
      </c>
      <c r="AC133" s="8"/>
      <c r="AD133" t="str">
        <f t="shared" si="46"/>
        <v>03/19/2024</v>
      </c>
      <c r="AE133" t="b">
        <f t="shared" si="47"/>
        <v>1</v>
      </c>
    </row>
    <row r="134" spans="1:31" x14ac:dyDescent="0.35">
      <c r="A134" t="s">
        <v>512</v>
      </c>
      <c r="B134" t="s">
        <v>513</v>
      </c>
      <c r="C134" s="1">
        <f t="shared" si="42"/>
        <v>45293</v>
      </c>
      <c r="D134" t="s">
        <v>327</v>
      </c>
      <c r="E134" t="s">
        <v>514</v>
      </c>
      <c r="F134" t="str">
        <f t="shared" si="43"/>
        <v>Matthew Andrews</v>
      </c>
      <c r="G134" t="str">
        <f t="shared" si="44"/>
        <v>Matthew</v>
      </c>
      <c r="H134" t="str">
        <f t="shared" si="45"/>
        <v>Andrews</v>
      </c>
      <c r="I134" t="s">
        <v>93</v>
      </c>
      <c r="J134" t="str">
        <f t="shared" si="48"/>
        <v>North</v>
      </c>
      <c r="K134" t="s">
        <v>103</v>
      </c>
      <c r="L134" t="str">
        <f t="shared" si="49"/>
        <v>Norwich</v>
      </c>
      <c r="M134" t="s">
        <v>19</v>
      </c>
      <c r="N134" t="str">
        <f t="shared" si="50"/>
        <v>Technology</v>
      </c>
      <c r="O134" t="s">
        <v>20</v>
      </c>
      <c r="P134" t="str">
        <f t="shared" si="51"/>
        <v>Laptop</v>
      </c>
      <c r="Q134" s="5">
        <v>4</v>
      </c>
      <c r="R134">
        <v>229.03</v>
      </c>
      <c r="S134" s="6">
        <f t="shared" si="52"/>
        <v>229.03</v>
      </c>
      <c r="T134">
        <v>0</v>
      </c>
      <c r="U134" s="2">
        <f t="shared" si="53"/>
        <v>0</v>
      </c>
      <c r="V134">
        <v>521.29999999999995</v>
      </c>
      <c r="W134" s="2">
        <f t="shared" si="54"/>
        <v>521.29999999999995</v>
      </c>
      <c r="X134" t="s">
        <v>69</v>
      </c>
      <c r="Y134" t="str">
        <f t="shared" si="55"/>
        <v>Paypal</v>
      </c>
      <c r="Z134" t="s">
        <v>23</v>
      </c>
      <c r="AA134" t="str">
        <f t="shared" si="56"/>
        <v>Completed</v>
      </c>
      <c r="AC134" s="8"/>
      <c r="AD134" t="str">
        <f t="shared" si="46"/>
        <v>02/01/2024</v>
      </c>
      <c r="AE134" t="b">
        <f t="shared" si="47"/>
        <v>0</v>
      </c>
    </row>
    <row r="135" spans="1:31" x14ac:dyDescent="0.35">
      <c r="A135" t="s">
        <v>515</v>
      </c>
      <c r="B135" t="s">
        <v>516</v>
      </c>
      <c r="C135" s="1">
        <f t="shared" si="42"/>
        <v>45554</v>
      </c>
      <c r="D135" t="s">
        <v>517</v>
      </c>
      <c r="E135" t="s">
        <v>518</v>
      </c>
      <c r="F135" t="str">
        <f t="shared" si="43"/>
        <v>Luke Mann</v>
      </c>
      <c r="G135" t="str">
        <f t="shared" si="44"/>
        <v>Luke</v>
      </c>
      <c r="H135" t="str">
        <f t="shared" si="45"/>
        <v>Mann</v>
      </c>
      <c r="I135" t="s">
        <v>17</v>
      </c>
      <c r="J135" t="str">
        <f t="shared" si="48"/>
        <v>West</v>
      </c>
      <c r="K135" t="s">
        <v>103</v>
      </c>
      <c r="L135" t="str">
        <f t="shared" si="49"/>
        <v>Norwich</v>
      </c>
      <c r="M135" t="s">
        <v>54</v>
      </c>
      <c r="N135" t="str">
        <f t="shared" si="50"/>
        <v>Furniture</v>
      </c>
      <c r="O135" t="s">
        <v>74</v>
      </c>
      <c r="P135" t="str">
        <f t="shared" si="51"/>
        <v>Desk</v>
      </c>
      <c r="Q135" s="5">
        <v>9</v>
      </c>
      <c r="R135">
        <v>1211.3399999999999</v>
      </c>
      <c r="S135" s="6">
        <f t="shared" si="52"/>
        <v>1211.3399999999999</v>
      </c>
      <c r="T135">
        <v>0</v>
      </c>
      <c r="U135" s="2">
        <f t="shared" si="53"/>
        <v>0</v>
      </c>
      <c r="V135">
        <v>397.16</v>
      </c>
      <c r="W135" s="2">
        <f t="shared" si="54"/>
        <v>397.16</v>
      </c>
      <c r="X135" t="s">
        <v>69</v>
      </c>
      <c r="Y135" t="str">
        <f t="shared" si="55"/>
        <v>Paypal</v>
      </c>
      <c r="Z135" t="s">
        <v>23</v>
      </c>
      <c r="AA135" t="str">
        <f t="shared" si="56"/>
        <v>Completed</v>
      </c>
      <c r="AC135" s="8"/>
      <c r="AD135" t="str">
        <f t="shared" si="46"/>
        <v>09/19/2024</v>
      </c>
      <c r="AE135" t="b">
        <f t="shared" si="47"/>
        <v>1</v>
      </c>
    </row>
    <row r="136" spans="1:31" x14ac:dyDescent="0.35">
      <c r="A136" t="s">
        <v>519</v>
      </c>
      <c r="B136" t="s">
        <v>520</v>
      </c>
      <c r="C136" s="1">
        <f t="shared" si="42"/>
        <v>45770</v>
      </c>
      <c r="D136" t="s">
        <v>449</v>
      </c>
      <c r="E136" t="s">
        <v>521</v>
      </c>
      <c r="F136" t="str">
        <f t="shared" si="43"/>
        <v>Paul Jacobs</v>
      </c>
      <c r="G136" t="str">
        <f t="shared" si="44"/>
        <v>Paul</v>
      </c>
      <c r="H136" t="str">
        <f t="shared" si="45"/>
        <v>Jacobs</v>
      </c>
      <c r="I136" t="s">
        <v>144</v>
      </c>
      <c r="J136" t="str">
        <f t="shared" si="48"/>
        <v>Midlands</v>
      </c>
      <c r="K136" t="s">
        <v>94</v>
      </c>
      <c r="L136" t="str">
        <f t="shared" si="49"/>
        <v>Birmingham</v>
      </c>
      <c r="M136" t="s">
        <v>19</v>
      </c>
      <c r="N136" t="str">
        <f t="shared" si="50"/>
        <v>Technology</v>
      </c>
      <c r="O136" t="s">
        <v>20</v>
      </c>
      <c r="P136" t="str">
        <f t="shared" si="51"/>
        <v>Laptop</v>
      </c>
      <c r="Q136" s="5">
        <v>-8</v>
      </c>
      <c r="R136">
        <v>616.26</v>
      </c>
      <c r="S136" s="6">
        <f t="shared" si="52"/>
        <v>616.26</v>
      </c>
      <c r="T136">
        <v>0.2</v>
      </c>
      <c r="U136" s="2">
        <f t="shared" si="53"/>
        <v>0.2</v>
      </c>
      <c r="V136">
        <v>766.3</v>
      </c>
      <c r="W136" s="2">
        <f t="shared" si="54"/>
        <v>766.3</v>
      </c>
      <c r="X136" t="s">
        <v>69</v>
      </c>
      <c r="Y136" t="str">
        <f t="shared" si="55"/>
        <v>Paypal</v>
      </c>
      <c r="Z136" t="s">
        <v>56</v>
      </c>
      <c r="AA136" t="str">
        <f t="shared" si="56"/>
        <v>Cancelled</v>
      </c>
      <c r="AC136" s="8"/>
      <c r="AD136" t="str">
        <f t="shared" si="46"/>
        <v>04/23/2025</v>
      </c>
      <c r="AE136" t="b">
        <f t="shared" si="47"/>
        <v>1</v>
      </c>
    </row>
    <row r="137" spans="1:31" x14ac:dyDescent="0.35">
      <c r="A137" t="s">
        <v>522</v>
      </c>
      <c r="B137" t="s">
        <v>523</v>
      </c>
      <c r="C137" s="1">
        <f t="shared" si="42"/>
        <v>45641</v>
      </c>
      <c r="D137" t="s">
        <v>156</v>
      </c>
      <c r="E137" t="s">
        <v>524</v>
      </c>
      <c r="F137" t="str">
        <f t="shared" si="43"/>
        <v>Victor Osborn</v>
      </c>
      <c r="G137" t="str">
        <f t="shared" si="44"/>
        <v>Victor</v>
      </c>
      <c r="H137" t="str">
        <f t="shared" si="45"/>
        <v>Osborn</v>
      </c>
      <c r="I137" t="s">
        <v>83</v>
      </c>
      <c r="J137" t="str">
        <f t="shared" si="48"/>
        <v>South</v>
      </c>
      <c r="K137" t="s">
        <v>103</v>
      </c>
      <c r="L137" t="str">
        <f t="shared" si="49"/>
        <v>Norwich</v>
      </c>
      <c r="M137" t="s">
        <v>54</v>
      </c>
      <c r="N137" t="str">
        <f t="shared" si="50"/>
        <v>Furniture</v>
      </c>
      <c r="O137" t="s">
        <v>74</v>
      </c>
      <c r="P137" t="str">
        <f t="shared" si="51"/>
        <v>Desk</v>
      </c>
      <c r="Q137" s="5">
        <v>3</v>
      </c>
      <c r="R137">
        <v>524.91999999999996</v>
      </c>
      <c r="S137" s="6">
        <f t="shared" si="52"/>
        <v>524.91999999999996</v>
      </c>
      <c r="T137" t="s">
        <v>21</v>
      </c>
      <c r="U137" s="2">
        <f t="shared" si="53"/>
        <v>0.05</v>
      </c>
      <c r="V137">
        <v>538.17999999999995</v>
      </c>
      <c r="W137" s="2">
        <f t="shared" si="54"/>
        <v>538.17999999999995</v>
      </c>
      <c r="X137" t="s">
        <v>49</v>
      </c>
      <c r="Y137" t="str">
        <f t="shared" si="55"/>
        <v>Card</v>
      </c>
      <c r="Z137" t="s">
        <v>23</v>
      </c>
      <c r="AA137" t="str">
        <f t="shared" si="56"/>
        <v>Completed</v>
      </c>
      <c r="AC137" s="8"/>
      <c r="AD137" t="str">
        <f t="shared" si="46"/>
        <v>12/15/2024</v>
      </c>
      <c r="AE137" t="b">
        <f t="shared" si="47"/>
        <v>1</v>
      </c>
    </row>
    <row r="138" spans="1:31" x14ac:dyDescent="0.35">
      <c r="A138" t="s">
        <v>525</v>
      </c>
      <c r="B138" t="s">
        <v>210</v>
      </c>
      <c r="C138" s="1">
        <f t="shared" si="42"/>
        <v>45717</v>
      </c>
      <c r="D138" t="s">
        <v>310</v>
      </c>
      <c r="E138" t="s">
        <v>526</v>
      </c>
      <c r="F138" t="str">
        <f t="shared" si="43"/>
        <v>Justin Knight</v>
      </c>
      <c r="G138" t="str">
        <f t="shared" si="44"/>
        <v>Justin</v>
      </c>
      <c r="H138" t="str">
        <f t="shared" si="45"/>
        <v>Knight</v>
      </c>
      <c r="I138" t="s">
        <v>61</v>
      </c>
      <c r="J138" t="str">
        <f t="shared" si="48"/>
        <v>East</v>
      </c>
      <c r="K138" t="s">
        <v>62</v>
      </c>
      <c r="L138" t="str">
        <f t="shared" si="49"/>
        <v>Leeds</v>
      </c>
      <c r="M138" t="s">
        <v>54</v>
      </c>
      <c r="N138" t="str">
        <f t="shared" si="50"/>
        <v>Furniture</v>
      </c>
      <c r="O138" t="s">
        <v>68</v>
      </c>
      <c r="P138" t="str">
        <f t="shared" si="51"/>
        <v>Cabinet</v>
      </c>
      <c r="Q138" s="5">
        <v>14</v>
      </c>
      <c r="R138">
        <v>693.63</v>
      </c>
      <c r="S138" s="6">
        <f t="shared" si="52"/>
        <v>693.63</v>
      </c>
      <c r="T138">
        <v>0.2</v>
      </c>
      <c r="U138" s="2">
        <f t="shared" si="53"/>
        <v>0.2</v>
      </c>
      <c r="V138">
        <v>190.1</v>
      </c>
      <c r="W138" s="2">
        <f t="shared" si="54"/>
        <v>190.1</v>
      </c>
      <c r="X138" t="s">
        <v>49</v>
      </c>
      <c r="Y138" t="str">
        <f t="shared" si="55"/>
        <v>Card</v>
      </c>
      <c r="Z138" t="s">
        <v>23</v>
      </c>
      <c r="AA138" t="str">
        <f t="shared" si="56"/>
        <v>Completed</v>
      </c>
      <c r="AC138" s="8"/>
      <c r="AD138" t="str">
        <f t="shared" si="46"/>
        <v>01/03/2025</v>
      </c>
      <c r="AE138" t="b">
        <f t="shared" si="47"/>
        <v>0</v>
      </c>
    </row>
    <row r="139" spans="1:31" x14ac:dyDescent="0.35">
      <c r="A139" t="s">
        <v>527</v>
      </c>
      <c r="B139" t="s">
        <v>218</v>
      </c>
      <c r="C139" s="1">
        <f t="shared" si="42"/>
        <v>45343</v>
      </c>
      <c r="D139" t="s">
        <v>246</v>
      </c>
      <c r="E139" t="s">
        <v>528</v>
      </c>
      <c r="F139" t="str">
        <f t="shared" si="43"/>
        <v>Karen Green</v>
      </c>
      <c r="G139" t="str">
        <f t="shared" si="44"/>
        <v>Karen</v>
      </c>
      <c r="H139" t="str">
        <f t="shared" si="45"/>
        <v>Green</v>
      </c>
      <c r="I139" t="s">
        <v>47</v>
      </c>
      <c r="J139" t="str">
        <f t="shared" si="48"/>
        <v>East</v>
      </c>
      <c r="K139" t="s">
        <v>18</v>
      </c>
      <c r="L139" t="str">
        <f t="shared" si="49"/>
        <v>London</v>
      </c>
      <c r="M139" t="s">
        <v>112</v>
      </c>
      <c r="N139" t="str">
        <f t="shared" si="50"/>
        <v>Technology</v>
      </c>
      <c r="O139" t="s">
        <v>20</v>
      </c>
      <c r="P139" t="str">
        <f t="shared" si="51"/>
        <v>Laptop</v>
      </c>
      <c r="Q139" s="5">
        <v>11</v>
      </c>
      <c r="R139">
        <v>77.77</v>
      </c>
      <c r="S139" s="6">
        <f t="shared" si="52"/>
        <v>77.77</v>
      </c>
      <c r="T139">
        <v>0.05</v>
      </c>
      <c r="U139" s="2">
        <f t="shared" si="53"/>
        <v>0.05</v>
      </c>
      <c r="V139">
        <v>403.46</v>
      </c>
      <c r="W139" s="2">
        <f t="shared" si="54"/>
        <v>403.46</v>
      </c>
      <c r="X139" t="s">
        <v>35</v>
      </c>
      <c r="Y139" t="str">
        <f t="shared" si="55"/>
        <v>Bank Transfer</v>
      </c>
      <c r="Z139" t="s">
        <v>23</v>
      </c>
      <c r="AA139" t="str">
        <f t="shared" si="56"/>
        <v>Completed</v>
      </c>
      <c r="AC139" s="8"/>
      <c r="AD139" t="str">
        <f t="shared" si="46"/>
        <v>2024/02/21</v>
      </c>
      <c r="AE139" t="b">
        <f t="shared" si="47"/>
        <v>0</v>
      </c>
    </row>
    <row r="140" spans="1:31" x14ac:dyDescent="0.35">
      <c r="A140" t="s">
        <v>529</v>
      </c>
      <c r="B140" t="s">
        <v>530</v>
      </c>
      <c r="C140" s="1">
        <f t="shared" si="42"/>
        <v>45587</v>
      </c>
      <c r="D140" t="s">
        <v>226</v>
      </c>
      <c r="E140" t="s">
        <v>531</v>
      </c>
      <c r="F140" t="str">
        <f t="shared" si="43"/>
        <v>Amanda Ray</v>
      </c>
      <c r="G140" t="str">
        <f t="shared" si="44"/>
        <v>Amanda</v>
      </c>
      <c r="H140" t="str">
        <f t="shared" si="45"/>
        <v>Ray</v>
      </c>
      <c r="I140" t="s">
        <v>40</v>
      </c>
      <c r="J140" t="str">
        <f t="shared" si="48"/>
        <v>North</v>
      </c>
      <c r="K140" t="s">
        <v>34</v>
      </c>
      <c r="L140" t="str">
        <f t="shared" si="49"/>
        <v>Bristol</v>
      </c>
      <c r="M140" t="s">
        <v>28</v>
      </c>
      <c r="N140" t="str">
        <f t="shared" si="50"/>
        <v>Office Supplies</v>
      </c>
      <c r="O140" t="s">
        <v>63</v>
      </c>
      <c r="P140" t="str">
        <f t="shared" si="51"/>
        <v>Pen</v>
      </c>
      <c r="Q140" s="5">
        <v>6</v>
      </c>
      <c r="R140">
        <v>1315.01</v>
      </c>
      <c r="S140" s="6">
        <f t="shared" si="52"/>
        <v>1315.01</v>
      </c>
      <c r="T140" t="s">
        <v>42</v>
      </c>
      <c r="U140" s="2">
        <f t="shared" si="53"/>
        <v>0.1</v>
      </c>
      <c r="V140">
        <v>522.21</v>
      </c>
      <c r="W140" s="2">
        <f t="shared" si="54"/>
        <v>522.21</v>
      </c>
      <c r="X140" t="s">
        <v>69</v>
      </c>
      <c r="Y140" t="str">
        <f t="shared" si="55"/>
        <v>Paypal</v>
      </c>
      <c r="Z140" t="s">
        <v>56</v>
      </c>
      <c r="AA140" t="str">
        <f t="shared" si="56"/>
        <v>Cancelled</v>
      </c>
      <c r="AC140" s="8"/>
      <c r="AD140" t="str">
        <f t="shared" si="46"/>
        <v>10/22/2024</v>
      </c>
      <c r="AE140" t="b">
        <f t="shared" si="47"/>
        <v>1</v>
      </c>
    </row>
    <row r="141" spans="1:31" x14ac:dyDescent="0.35">
      <c r="A141" t="s">
        <v>532</v>
      </c>
      <c r="B141" t="s">
        <v>533</v>
      </c>
      <c r="C141" s="1">
        <f t="shared" si="42"/>
        <v>45774</v>
      </c>
      <c r="D141" t="s">
        <v>91</v>
      </c>
      <c r="E141" t="s">
        <v>534</v>
      </c>
      <c r="F141" t="str">
        <f t="shared" si="43"/>
        <v>Daniel Hutchinson</v>
      </c>
      <c r="G141" t="str">
        <f t="shared" si="44"/>
        <v>Daniel</v>
      </c>
      <c r="H141" t="str">
        <f t="shared" si="45"/>
        <v>Hutchinson</v>
      </c>
      <c r="I141" t="s">
        <v>83</v>
      </c>
      <c r="J141" t="str">
        <f t="shared" si="48"/>
        <v>South</v>
      </c>
      <c r="K141" t="s">
        <v>41</v>
      </c>
      <c r="L141" t="str">
        <f t="shared" si="49"/>
        <v>Manchester</v>
      </c>
      <c r="M141" t="s">
        <v>19</v>
      </c>
      <c r="N141" t="str">
        <f t="shared" si="50"/>
        <v>Technology</v>
      </c>
      <c r="O141" t="s">
        <v>158</v>
      </c>
      <c r="P141" t="str">
        <f t="shared" si="51"/>
        <v>Keyboard</v>
      </c>
      <c r="Q141" s="5">
        <v>9</v>
      </c>
      <c r="R141">
        <v>627.41</v>
      </c>
      <c r="S141" s="6">
        <f t="shared" si="52"/>
        <v>627.41</v>
      </c>
      <c r="T141" t="s">
        <v>21</v>
      </c>
      <c r="U141" s="2">
        <f t="shared" si="53"/>
        <v>0.05</v>
      </c>
      <c r="V141">
        <v>377.71</v>
      </c>
      <c r="W141" s="2">
        <f t="shared" si="54"/>
        <v>377.71</v>
      </c>
      <c r="X141" t="s">
        <v>22</v>
      </c>
      <c r="Y141" t="str">
        <f t="shared" si="55"/>
        <v>Cash</v>
      </c>
      <c r="Z141" t="s">
        <v>56</v>
      </c>
      <c r="AA141" t="str">
        <f t="shared" si="56"/>
        <v>Cancelled</v>
      </c>
      <c r="AC141" s="8"/>
      <c r="AD141" t="str">
        <f t="shared" si="46"/>
        <v>2025/04/27</v>
      </c>
      <c r="AE141" t="b">
        <f t="shared" si="47"/>
        <v>0</v>
      </c>
    </row>
    <row r="142" spans="1:31" x14ac:dyDescent="0.35">
      <c r="A142" t="s">
        <v>535</v>
      </c>
      <c r="B142" t="s">
        <v>536</v>
      </c>
      <c r="C142" s="1">
        <f t="shared" si="42"/>
        <v>45935</v>
      </c>
      <c r="D142" t="s">
        <v>537</v>
      </c>
      <c r="E142" t="s">
        <v>538</v>
      </c>
      <c r="F142" t="str">
        <f t="shared" si="43"/>
        <v>Tracy Oliver</v>
      </c>
      <c r="G142" t="str">
        <f t="shared" si="44"/>
        <v>Tracy</v>
      </c>
      <c r="H142" t="str">
        <f t="shared" si="45"/>
        <v>Oliver</v>
      </c>
      <c r="I142" t="s">
        <v>83</v>
      </c>
      <c r="J142" t="str">
        <f t="shared" si="48"/>
        <v>South</v>
      </c>
      <c r="K142" t="s">
        <v>103</v>
      </c>
      <c r="L142" t="str">
        <f t="shared" si="49"/>
        <v>Norwich</v>
      </c>
      <c r="M142" t="s">
        <v>19</v>
      </c>
      <c r="N142" t="str">
        <f t="shared" si="50"/>
        <v>Technology</v>
      </c>
      <c r="O142" t="s">
        <v>88</v>
      </c>
      <c r="P142" t="str">
        <f t="shared" si="51"/>
        <v>Mouse</v>
      </c>
      <c r="Q142" s="5">
        <v>7</v>
      </c>
      <c r="R142">
        <v>308.99</v>
      </c>
      <c r="S142" s="6">
        <f t="shared" si="52"/>
        <v>308.99</v>
      </c>
      <c r="T142">
        <v>0.1</v>
      </c>
      <c r="U142" s="2">
        <f t="shared" si="53"/>
        <v>0.1</v>
      </c>
      <c r="V142">
        <v>922.38</v>
      </c>
      <c r="W142" s="2">
        <f t="shared" si="54"/>
        <v>922.38</v>
      </c>
      <c r="X142" t="s">
        <v>35</v>
      </c>
      <c r="Y142" t="str">
        <f t="shared" si="55"/>
        <v>Bank Transfer</v>
      </c>
      <c r="Z142" t="s">
        <v>56</v>
      </c>
      <c r="AA142" t="str">
        <f t="shared" si="56"/>
        <v>Cancelled</v>
      </c>
      <c r="AC142" s="8"/>
      <c r="AD142" t="str">
        <f t="shared" si="46"/>
        <v>05/10/2025</v>
      </c>
      <c r="AE142" t="b">
        <f t="shared" si="47"/>
        <v>0</v>
      </c>
    </row>
    <row r="143" spans="1:31" x14ac:dyDescent="0.35">
      <c r="A143" t="s">
        <v>539</v>
      </c>
      <c r="B143" t="s">
        <v>540</v>
      </c>
      <c r="C143" s="1">
        <f t="shared" si="42"/>
        <v>45312</v>
      </c>
      <c r="D143" t="s">
        <v>226</v>
      </c>
      <c r="E143" t="s">
        <v>541</v>
      </c>
      <c r="F143" t="str">
        <f t="shared" si="43"/>
        <v>Deborah Carter</v>
      </c>
      <c r="G143" t="str">
        <f t="shared" si="44"/>
        <v>Deborah</v>
      </c>
      <c r="H143" t="str">
        <f t="shared" si="45"/>
        <v>Carter</v>
      </c>
      <c r="I143" t="s">
        <v>47</v>
      </c>
      <c r="J143" t="str">
        <f t="shared" si="48"/>
        <v>East</v>
      </c>
      <c r="K143" t="s">
        <v>18</v>
      </c>
      <c r="L143" t="str">
        <f t="shared" si="49"/>
        <v>London</v>
      </c>
      <c r="M143" t="s">
        <v>28</v>
      </c>
      <c r="N143" t="str">
        <f t="shared" si="50"/>
        <v>Office Supplies</v>
      </c>
      <c r="O143" t="s">
        <v>153</v>
      </c>
      <c r="P143" t="str">
        <f t="shared" si="51"/>
        <v>Stapler</v>
      </c>
      <c r="Q143" s="5">
        <v>13</v>
      </c>
      <c r="R143">
        <v>1008.82</v>
      </c>
      <c r="S143" s="6">
        <f t="shared" si="52"/>
        <v>1008.82</v>
      </c>
      <c r="T143">
        <v>0.1</v>
      </c>
      <c r="U143" s="2">
        <f t="shared" si="53"/>
        <v>0.1</v>
      </c>
      <c r="V143">
        <v>210.47</v>
      </c>
      <c r="W143" s="2">
        <f t="shared" si="54"/>
        <v>210.47</v>
      </c>
      <c r="X143" t="s">
        <v>22</v>
      </c>
      <c r="Y143" t="str">
        <f t="shared" si="55"/>
        <v>Cash</v>
      </c>
      <c r="Z143" t="s">
        <v>23</v>
      </c>
      <c r="AA143" t="str">
        <f t="shared" si="56"/>
        <v>Completed</v>
      </c>
      <c r="AC143" s="8"/>
      <c r="AD143" t="str">
        <f t="shared" si="46"/>
        <v>2024/01/21</v>
      </c>
      <c r="AE143" t="b">
        <f t="shared" si="47"/>
        <v>0</v>
      </c>
    </row>
    <row r="144" spans="1:31" x14ac:dyDescent="0.35">
      <c r="A144" t="s">
        <v>542</v>
      </c>
      <c r="B144" t="s">
        <v>543</v>
      </c>
      <c r="C144" s="1">
        <f t="shared" si="42"/>
        <v>45648</v>
      </c>
      <c r="D144" t="s">
        <v>306</v>
      </c>
      <c r="E144" t="s">
        <v>544</v>
      </c>
      <c r="F144" t="str">
        <f t="shared" si="43"/>
        <v>Joseph Klein</v>
      </c>
      <c r="G144" t="str">
        <f t="shared" si="44"/>
        <v>Joseph</v>
      </c>
      <c r="H144" t="str">
        <f t="shared" si="45"/>
        <v>Klein</v>
      </c>
      <c r="I144" t="s">
        <v>144</v>
      </c>
      <c r="J144" t="str">
        <f t="shared" si="48"/>
        <v>Midlands</v>
      </c>
      <c r="K144" t="s">
        <v>62</v>
      </c>
      <c r="L144" t="str">
        <f t="shared" si="49"/>
        <v>Leeds</v>
      </c>
      <c r="M144" t="s">
        <v>54</v>
      </c>
      <c r="N144" t="str">
        <f t="shared" si="50"/>
        <v>Furniture</v>
      </c>
      <c r="O144" t="s">
        <v>74</v>
      </c>
      <c r="P144" t="str">
        <f t="shared" si="51"/>
        <v>Desk</v>
      </c>
      <c r="Q144" s="5">
        <v>15</v>
      </c>
      <c r="R144">
        <v>485.81</v>
      </c>
      <c r="S144" s="6">
        <f t="shared" si="52"/>
        <v>485.81</v>
      </c>
      <c r="T144">
        <v>0.2</v>
      </c>
      <c r="U144" s="2">
        <f t="shared" si="53"/>
        <v>0.2</v>
      </c>
      <c r="V144">
        <v>467.32</v>
      </c>
      <c r="W144" s="2">
        <f t="shared" si="54"/>
        <v>467.32</v>
      </c>
      <c r="X144" t="s">
        <v>69</v>
      </c>
      <c r="Y144" t="str">
        <f t="shared" si="55"/>
        <v>Paypal</v>
      </c>
      <c r="Z144" t="s">
        <v>56</v>
      </c>
      <c r="AA144" t="str">
        <f t="shared" si="56"/>
        <v>Cancelled</v>
      </c>
      <c r="AC144" s="8"/>
      <c r="AD144" t="str">
        <f t="shared" si="46"/>
        <v>2024/12/22</v>
      </c>
      <c r="AE144" t="b">
        <f t="shared" si="47"/>
        <v>0</v>
      </c>
    </row>
    <row r="145" spans="1:31" x14ac:dyDescent="0.35">
      <c r="A145" t="s">
        <v>545</v>
      </c>
      <c r="B145" t="s">
        <v>546</v>
      </c>
      <c r="C145" s="1">
        <f t="shared" si="42"/>
        <v>45681</v>
      </c>
      <c r="D145" t="s">
        <v>294</v>
      </c>
      <c r="E145" t="s">
        <v>547</v>
      </c>
      <c r="F145" t="str">
        <f t="shared" si="43"/>
        <v>Jeffrey Roman</v>
      </c>
      <c r="G145" t="str">
        <f t="shared" si="44"/>
        <v>Jeffrey</v>
      </c>
      <c r="H145" t="str">
        <f t="shared" si="45"/>
        <v>Roman</v>
      </c>
      <c r="I145" t="s">
        <v>61</v>
      </c>
      <c r="J145" t="str">
        <f t="shared" si="48"/>
        <v>East</v>
      </c>
      <c r="K145" t="s">
        <v>41</v>
      </c>
      <c r="L145" t="str">
        <f t="shared" si="49"/>
        <v>Manchester</v>
      </c>
      <c r="M145" t="s">
        <v>19</v>
      </c>
      <c r="N145" t="str">
        <f t="shared" si="50"/>
        <v>Technology</v>
      </c>
      <c r="O145" t="s">
        <v>88</v>
      </c>
      <c r="P145" t="str">
        <f t="shared" si="51"/>
        <v>Mouse</v>
      </c>
      <c r="Q145" s="5">
        <v>6</v>
      </c>
      <c r="R145">
        <v>73.34</v>
      </c>
      <c r="S145" s="6">
        <f t="shared" si="52"/>
        <v>73.34</v>
      </c>
      <c r="T145">
        <v>0</v>
      </c>
      <c r="U145" s="2">
        <f t="shared" si="53"/>
        <v>0</v>
      </c>
      <c r="V145">
        <v>741.77</v>
      </c>
      <c r="W145" s="2">
        <f t="shared" si="54"/>
        <v>741.77</v>
      </c>
      <c r="X145" t="s">
        <v>22</v>
      </c>
      <c r="Y145" t="str">
        <f t="shared" si="55"/>
        <v>Cash</v>
      </c>
      <c r="Z145" t="s">
        <v>23</v>
      </c>
      <c r="AA145" t="str">
        <f t="shared" si="56"/>
        <v>Completed</v>
      </c>
      <c r="AC145" s="8"/>
      <c r="AD145" t="str">
        <f t="shared" si="46"/>
        <v>01/24/2025</v>
      </c>
      <c r="AE145" t="b">
        <f t="shared" si="47"/>
        <v>1</v>
      </c>
    </row>
    <row r="146" spans="1:31" x14ac:dyDescent="0.35">
      <c r="A146" t="s">
        <v>548</v>
      </c>
      <c r="B146" t="s">
        <v>549</v>
      </c>
      <c r="C146" s="1">
        <f t="shared" si="42"/>
        <v>45486</v>
      </c>
      <c r="D146" t="s">
        <v>449</v>
      </c>
      <c r="E146" t="s">
        <v>550</v>
      </c>
      <c r="F146" t="str">
        <f t="shared" si="43"/>
        <v>Hunter Rivers</v>
      </c>
      <c r="G146" t="str">
        <f t="shared" si="44"/>
        <v>Hunter</v>
      </c>
      <c r="H146" t="str">
        <f t="shared" si="45"/>
        <v>Rivers</v>
      </c>
      <c r="I146" t="s">
        <v>93</v>
      </c>
      <c r="J146" t="str">
        <f t="shared" si="48"/>
        <v>North</v>
      </c>
      <c r="K146" t="s">
        <v>18</v>
      </c>
      <c r="L146" t="str">
        <f t="shared" si="49"/>
        <v>London</v>
      </c>
      <c r="M146" t="s">
        <v>48</v>
      </c>
      <c r="N146" t="str">
        <f t="shared" si="50"/>
        <v>Technology</v>
      </c>
      <c r="O146" t="s">
        <v>135</v>
      </c>
      <c r="P146" t="str">
        <f t="shared" si="51"/>
        <v>Monitor</v>
      </c>
      <c r="Q146" s="5">
        <v>9</v>
      </c>
      <c r="R146">
        <v>1028.8499999999999</v>
      </c>
      <c r="S146" s="6">
        <f t="shared" si="52"/>
        <v>1028.8499999999999</v>
      </c>
      <c r="T146">
        <v>0.2</v>
      </c>
      <c r="U146" s="2">
        <f t="shared" si="53"/>
        <v>0.2</v>
      </c>
      <c r="V146">
        <v>821.95</v>
      </c>
      <c r="W146" s="2">
        <f t="shared" si="54"/>
        <v>821.95</v>
      </c>
      <c r="X146" t="s">
        <v>35</v>
      </c>
      <c r="Y146" t="str">
        <f t="shared" si="55"/>
        <v>Bank Transfer</v>
      </c>
      <c r="Z146" t="s">
        <v>23</v>
      </c>
      <c r="AA146" t="str">
        <f t="shared" si="56"/>
        <v>Completed</v>
      </c>
      <c r="AC146" s="8"/>
      <c r="AD146" t="str">
        <f t="shared" si="46"/>
        <v>2024/07/13</v>
      </c>
      <c r="AE146" t="b">
        <f t="shared" si="47"/>
        <v>0</v>
      </c>
    </row>
    <row r="147" spans="1:31" x14ac:dyDescent="0.35">
      <c r="A147" t="s">
        <v>551</v>
      </c>
      <c r="B147" t="s">
        <v>552</v>
      </c>
      <c r="C147" s="1">
        <f t="shared" si="42"/>
        <v>45386</v>
      </c>
      <c r="D147" t="s">
        <v>101</v>
      </c>
      <c r="E147" t="s">
        <v>553</v>
      </c>
      <c r="F147" t="str">
        <f t="shared" si="43"/>
        <v>Michelle Hodges</v>
      </c>
      <c r="G147" t="str">
        <f t="shared" si="44"/>
        <v>Michelle</v>
      </c>
      <c r="H147" t="str">
        <f t="shared" si="45"/>
        <v>Hodges</v>
      </c>
      <c r="I147" t="s">
        <v>61</v>
      </c>
      <c r="J147" t="str">
        <f t="shared" si="48"/>
        <v>East</v>
      </c>
      <c r="K147" t="s">
        <v>18</v>
      </c>
      <c r="L147" t="str">
        <f t="shared" si="49"/>
        <v>London</v>
      </c>
      <c r="M147" t="s">
        <v>112</v>
      </c>
      <c r="N147" t="str">
        <f t="shared" si="50"/>
        <v>Technology</v>
      </c>
      <c r="O147" t="s">
        <v>88</v>
      </c>
      <c r="P147" t="str">
        <f t="shared" si="51"/>
        <v>Mouse</v>
      </c>
      <c r="Q147" s="5">
        <v>11</v>
      </c>
      <c r="R147">
        <v>788.3</v>
      </c>
      <c r="S147" s="6">
        <f t="shared" si="52"/>
        <v>788.3</v>
      </c>
      <c r="T147">
        <v>0.2</v>
      </c>
      <c r="U147" s="2">
        <f t="shared" si="53"/>
        <v>0.2</v>
      </c>
      <c r="V147">
        <v>76.180000000000007</v>
      </c>
      <c r="W147" s="2">
        <f t="shared" si="54"/>
        <v>76.180000000000007</v>
      </c>
      <c r="X147" t="s">
        <v>22</v>
      </c>
      <c r="Y147" t="str">
        <f t="shared" si="55"/>
        <v>Cash</v>
      </c>
      <c r="Z147" t="s">
        <v>23</v>
      </c>
      <c r="AA147" t="str">
        <f t="shared" si="56"/>
        <v>Completed</v>
      </c>
      <c r="AC147" s="8"/>
      <c r="AD147" t="str">
        <f t="shared" si="46"/>
        <v>04/04/2024</v>
      </c>
      <c r="AE147" t="b">
        <f t="shared" si="47"/>
        <v>0</v>
      </c>
    </row>
    <row r="148" spans="1:31" x14ac:dyDescent="0.35">
      <c r="A148" t="s">
        <v>554</v>
      </c>
      <c r="B148" t="s">
        <v>555</v>
      </c>
      <c r="C148" s="1">
        <f t="shared" si="42"/>
        <v>45403</v>
      </c>
      <c r="D148" t="s">
        <v>493</v>
      </c>
      <c r="E148" t="s">
        <v>556</v>
      </c>
      <c r="F148" t="str">
        <f t="shared" si="43"/>
        <v>Jacob Lane</v>
      </c>
      <c r="G148" t="str">
        <f t="shared" si="44"/>
        <v>Jacob</v>
      </c>
      <c r="H148" t="str">
        <f t="shared" si="45"/>
        <v>Lane</v>
      </c>
      <c r="I148" t="s">
        <v>61</v>
      </c>
      <c r="J148" t="str">
        <f t="shared" si="48"/>
        <v>East</v>
      </c>
      <c r="K148" t="s">
        <v>103</v>
      </c>
      <c r="L148" t="str">
        <f t="shared" si="49"/>
        <v>Norwich</v>
      </c>
      <c r="M148" t="s">
        <v>112</v>
      </c>
      <c r="N148" t="str">
        <f t="shared" si="50"/>
        <v>Technology</v>
      </c>
      <c r="O148" t="s">
        <v>20</v>
      </c>
      <c r="P148" t="str">
        <f t="shared" si="51"/>
        <v>Laptop</v>
      </c>
      <c r="Q148" s="5">
        <v>10</v>
      </c>
      <c r="R148">
        <v>1401.19</v>
      </c>
      <c r="S148" s="6">
        <f t="shared" si="52"/>
        <v>1401.19</v>
      </c>
      <c r="T148">
        <v>0</v>
      </c>
      <c r="U148" s="2">
        <f t="shared" si="53"/>
        <v>0</v>
      </c>
      <c r="V148">
        <v>659.97</v>
      </c>
      <c r="W148" s="2">
        <f t="shared" si="54"/>
        <v>659.97</v>
      </c>
      <c r="X148" t="s">
        <v>49</v>
      </c>
      <c r="Y148" t="str">
        <f t="shared" si="55"/>
        <v>Card</v>
      </c>
      <c r="Z148" t="s">
        <v>23</v>
      </c>
      <c r="AA148" t="str">
        <f t="shared" si="56"/>
        <v>Completed</v>
      </c>
      <c r="AC148" s="8"/>
      <c r="AD148" t="str">
        <f t="shared" si="46"/>
        <v>2024/04/21</v>
      </c>
      <c r="AE148" t="b">
        <f t="shared" si="47"/>
        <v>0</v>
      </c>
    </row>
    <row r="149" spans="1:31" x14ac:dyDescent="0.35">
      <c r="A149" t="s">
        <v>557</v>
      </c>
      <c r="B149" t="s">
        <v>401</v>
      </c>
      <c r="C149" s="1">
        <f t="shared" si="42"/>
        <v>45536</v>
      </c>
      <c r="D149" t="s">
        <v>558</v>
      </c>
      <c r="E149" t="s">
        <v>559</v>
      </c>
      <c r="F149" t="str">
        <f t="shared" si="43"/>
        <v>Leslie Brown</v>
      </c>
      <c r="G149" t="str">
        <f t="shared" si="44"/>
        <v>Leslie</v>
      </c>
      <c r="H149" t="str">
        <f t="shared" si="45"/>
        <v>Brown</v>
      </c>
      <c r="I149" t="s">
        <v>18</v>
      </c>
      <c r="J149" t="str">
        <f t="shared" si="48"/>
        <v>London</v>
      </c>
      <c r="K149" t="s">
        <v>41</v>
      </c>
      <c r="L149" t="str">
        <f t="shared" si="49"/>
        <v>Manchester</v>
      </c>
      <c r="M149" t="s">
        <v>28</v>
      </c>
      <c r="N149" t="str">
        <f t="shared" si="50"/>
        <v>Office Supplies</v>
      </c>
      <c r="O149" t="s">
        <v>63</v>
      </c>
      <c r="P149" t="str">
        <f t="shared" si="51"/>
        <v>Pen</v>
      </c>
      <c r="Q149" s="5">
        <v>7</v>
      </c>
      <c r="R149">
        <v>1365.11</v>
      </c>
      <c r="S149" s="6">
        <f t="shared" si="52"/>
        <v>1365.11</v>
      </c>
      <c r="T149">
        <v>0.05</v>
      </c>
      <c r="U149" s="2">
        <f t="shared" si="53"/>
        <v>0.05</v>
      </c>
      <c r="V149">
        <v>98.12</v>
      </c>
      <c r="W149" s="2">
        <f t="shared" si="54"/>
        <v>98.12</v>
      </c>
      <c r="X149" t="s">
        <v>35</v>
      </c>
      <c r="Y149" t="str">
        <f t="shared" si="55"/>
        <v>Bank Transfer</v>
      </c>
      <c r="Z149" t="s">
        <v>56</v>
      </c>
      <c r="AA149" t="str">
        <f t="shared" si="56"/>
        <v>Cancelled</v>
      </c>
      <c r="AC149" s="8"/>
      <c r="AD149" t="str">
        <f t="shared" si="46"/>
        <v>01/09/2024</v>
      </c>
      <c r="AE149" t="b">
        <f t="shared" si="47"/>
        <v>0</v>
      </c>
    </row>
    <row r="150" spans="1:31" x14ac:dyDescent="0.35">
      <c r="A150" t="s">
        <v>560</v>
      </c>
      <c r="B150" t="s">
        <v>561</v>
      </c>
      <c r="C150" s="1">
        <f t="shared" si="42"/>
        <v>45813</v>
      </c>
      <c r="D150" t="s">
        <v>955</v>
      </c>
      <c r="E150" t="s">
        <v>562</v>
      </c>
      <c r="F150" t="str">
        <f t="shared" si="43"/>
        <v>Brandi Wells</v>
      </c>
      <c r="G150" t="str">
        <f t="shared" si="44"/>
        <v>Brandi</v>
      </c>
      <c r="H150" t="str">
        <f t="shared" si="45"/>
        <v>Wells</v>
      </c>
      <c r="I150" t="s">
        <v>61</v>
      </c>
      <c r="J150" t="str">
        <f t="shared" si="48"/>
        <v>East</v>
      </c>
      <c r="K150" t="s">
        <v>94</v>
      </c>
      <c r="L150" t="str">
        <f t="shared" si="49"/>
        <v>Birmingham</v>
      </c>
      <c r="M150" t="s">
        <v>19</v>
      </c>
      <c r="N150" t="str">
        <f t="shared" si="50"/>
        <v>Technology</v>
      </c>
      <c r="O150" t="s">
        <v>158</v>
      </c>
      <c r="P150" t="str">
        <f t="shared" si="51"/>
        <v>Keyboard</v>
      </c>
      <c r="Q150" s="5">
        <v>12</v>
      </c>
      <c r="R150">
        <v>1027.6400000000001</v>
      </c>
      <c r="S150" s="6">
        <f t="shared" si="52"/>
        <v>1027.6400000000001</v>
      </c>
      <c r="T150">
        <v>0.2</v>
      </c>
      <c r="U150" s="2">
        <f t="shared" si="53"/>
        <v>0.2</v>
      </c>
      <c r="V150">
        <v>654.42999999999995</v>
      </c>
      <c r="W150" s="2">
        <f t="shared" si="54"/>
        <v>654.42999999999995</v>
      </c>
      <c r="X150" t="s">
        <v>69</v>
      </c>
      <c r="Y150" t="str">
        <f t="shared" si="55"/>
        <v>Paypal</v>
      </c>
      <c r="Z150" t="s">
        <v>56</v>
      </c>
      <c r="AA150" t="str">
        <f t="shared" si="56"/>
        <v>Cancelled</v>
      </c>
      <c r="AC150" s="8"/>
      <c r="AD150" t="str">
        <f t="shared" si="46"/>
        <v>05/06/2025</v>
      </c>
      <c r="AE150" t="b">
        <f t="shared" si="47"/>
        <v>0</v>
      </c>
    </row>
    <row r="151" spans="1:31" x14ac:dyDescent="0.35">
      <c r="A151" t="s">
        <v>563</v>
      </c>
      <c r="B151" t="s">
        <v>564</v>
      </c>
      <c r="C151" s="1">
        <f t="shared" si="42"/>
        <v>45651</v>
      </c>
      <c r="D151" t="s">
        <v>377</v>
      </c>
      <c r="E151" t="s">
        <v>565</v>
      </c>
      <c r="F151" t="str">
        <f t="shared" si="43"/>
        <v>Charles Bell</v>
      </c>
      <c r="G151" t="str">
        <f t="shared" si="44"/>
        <v>Charles</v>
      </c>
      <c r="H151" t="str">
        <f t="shared" si="45"/>
        <v>Bell</v>
      </c>
      <c r="I151" t="s">
        <v>83</v>
      </c>
      <c r="J151" t="str">
        <f t="shared" si="48"/>
        <v>South</v>
      </c>
      <c r="K151" t="s">
        <v>18</v>
      </c>
      <c r="L151" t="str">
        <f t="shared" si="49"/>
        <v>London</v>
      </c>
      <c r="M151" t="s">
        <v>19</v>
      </c>
      <c r="N151" t="str">
        <f t="shared" si="50"/>
        <v>Technology</v>
      </c>
      <c r="O151" t="s">
        <v>20</v>
      </c>
      <c r="P151" t="str">
        <f t="shared" si="51"/>
        <v>Laptop</v>
      </c>
      <c r="Q151" s="5">
        <v>8</v>
      </c>
      <c r="R151">
        <v>969.14</v>
      </c>
      <c r="S151" s="6">
        <f t="shared" si="52"/>
        <v>969.14</v>
      </c>
      <c r="T151">
        <v>0</v>
      </c>
      <c r="U151" s="2">
        <f t="shared" si="53"/>
        <v>0</v>
      </c>
      <c r="V151">
        <v>977.37</v>
      </c>
      <c r="W151" s="2">
        <f t="shared" si="54"/>
        <v>977.37</v>
      </c>
      <c r="X151" t="s">
        <v>69</v>
      </c>
      <c r="Y151" t="str">
        <f t="shared" si="55"/>
        <v>Paypal</v>
      </c>
      <c r="Z151" t="s">
        <v>23</v>
      </c>
      <c r="AA151" t="str">
        <f t="shared" si="56"/>
        <v>Completed</v>
      </c>
      <c r="AC151" s="8"/>
      <c r="AD151" t="str">
        <f t="shared" si="46"/>
        <v>25/12/2024</v>
      </c>
      <c r="AE151" t="b">
        <f t="shared" si="47"/>
        <v>0</v>
      </c>
    </row>
    <row r="152" spans="1:31" x14ac:dyDescent="0.35">
      <c r="A152" t="s">
        <v>566</v>
      </c>
      <c r="B152" t="s">
        <v>567</v>
      </c>
      <c r="C152" s="1">
        <f t="shared" si="42"/>
        <v>45642</v>
      </c>
      <c r="D152" t="s">
        <v>204</v>
      </c>
      <c r="E152" t="s">
        <v>568</v>
      </c>
      <c r="F152" t="str">
        <f t="shared" si="43"/>
        <v>Matthew Nelson</v>
      </c>
      <c r="G152" t="str">
        <f t="shared" si="44"/>
        <v>Matthew</v>
      </c>
      <c r="H152" t="str">
        <f t="shared" si="45"/>
        <v>Nelson</v>
      </c>
      <c r="I152" t="s">
        <v>61</v>
      </c>
      <c r="J152" t="str">
        <f t="shared" si="48"/>
        <v>East</v>
      </c>
      <c r="K152" t="s">
        <v>103</v>
      </c>
      <c r="L152" t="str">
        <f t="shared" si="49"/>
        <v>Norwich</v>
      </c>
      <c r="M152" t="s">
        <v>19</v>
      </c>
      <c r="N152" t="str">
        <f t="shared" si="50"/>
        <v>Technology</v>
      </c>
      <c r="O152" t="s">
        <v>20</v>
      </c>
      <c r="P152" t="str">
        <f t="shared" si="51"/>
        <v>Laptop</v>
      </c>
      <c r="Q152" s="5">
        <v>10</v>
      </c>
      <c r="R152">
        <v>273.13</v>
      </c>
      <c r="S152" s="6">
        <f t="shared" si="52"/>
        <v>273.13</v>
      </c>
      <c r="T152">
        <v>0.05</v>
      </c>
      <c r="U152" s="2">
        <f t="shared" si="53"/>
        <v>0.05</v>
      </c>
      <c r="V152">
        <v>17.63</v>
      </c>
      <c r="W152" s="2">
        <f t="shared" si="54"/>
        <v>17.63</v>
      </c>
      <c r="X152" t="s">
        <v>35</v>
      </c>
      <c r="Y152" t="str">
        <f t="shared" si="55"/>
        <v>Bank Transfer</v>
      </c>
      <c r="Z152" t="s">
        <v>23</v>
      </c>
      <c r="AA152" t="str">
        <f t="shared" si="56"/>
        <v>Completed</v>
      </c>
      <c r="AC152" s="8"/>
      <c r="AD152" t="str">
        <f t="shared" si="46"/>
        <v>12/16/2024</v>
      </c>
      <c r="AE152" t="b">
        <f t="shared" si="47"/>
        <v>1</v>
      </c>
    </row>
    <row r="153" spans="1:31" x14ac:dyDescent="0.35">
      <c r="A153" t="s">
        <v>569</v>
      </c>
      <c r="B153" t="s">
        <v>570</v>
      </c>
      <c r="C153" s="1">
        <f t="shared" si="42"/>
        <v>45582</v>
      </c>
      <c r="D153" t="s">
        <v>151</v>
      </c>
      <c r="E153" t="s">
        <v>571</v>
      </c>
      <c r="F153" t="str">
        <f t="shared" si="43"/>
        <v>Lawrence Rios</v>
      </c>
      <c r="G153" t="str">
        <f t="shared" si="44"/>
        <v>Lawrence</v>
      </c>
      <c r="H153" t="str">
        <f t="shared" si="45"/>
        <v>Rios</v>
      </c>
      <c r="I153" t="s">
        <v>144</v>
      </c>
      <c r="J153" t="str">
        <f t="shared" si="48"/>
        <v>Midlands</v>
      </c>
      <c r="K153" t="s">
        <v>103</v>
      </c>
      <c r="L153" t="str">
        <f t="shared" si="49"/>
        <v>Norwich</v>
      </c>
      <c r="M153" t="s">
        <v>28</v>
      </c>
      <c r="N153" t="str">
        <f t="shared" si="50"/>
        <v>Office Supplies</v>
      </c>
      <c r="O153" t="s">
        <v>29</v>
      </c>
      <c r="P153" t="str">
        <f t="shared" si="51"/>
        <v>Paper</v>
      </c>
      <c r="Q153" s="5">
        <v>15</v>
      </c>
      <c r="R153">
        <v>578.85</v>
      </c>
      <c r="S153" s="6">
        <f t="shared" si="52"/>
        <v>578.85</v>
      </c>
      <c r="T153">
        <v>0.2</v>
      </c>
      <c r="U153" s="2">
        <f t="shared" si="53"/>
        <v>0.2</v>
      </c>
      <c r="V153">
        <v>790.92</v>
      </c>
      <c r="W153" s="2">
        <f t="shared" si="54"/>
        <v>790.92</v>
      </c>
      <c r="X153" t="s">
        <v>49</v>
      </c>
      <c r="Y153" t="str">
        <f t="shared" si="55"/>
        <v>Card</v>
      </c>
      <c r="Z153" t="s">
        <v>56</v>
      </c>
      <c r="AA153" t="str">
        <f t="shared" si="56"/>
        <v>Cancelled</v>
      </c>
      <c r="AC153" s="8"/>
      <c r="AD153" t="str">
        <f t="shared" si="46"/>
        <v>2024/10/17</v>
      </c>
      <c r="AE153" t="b">
        <f t="shared" si="47"/>
        <v>0</v>
      </c>
    </row>
    <row r="154" spans="1:31" x14ac:dyDescent="0.35">
      <c r="A154" t="s">
        <v>572</v>
      </c>
      <c r="B154" t="s">
        <v>573</v>
      </c>
      <c r="C154" s="1">
        <f t="shared" si="42"/>
        <v>45466</v>
      </c>
      <c r="D154" t="s">
        <v>182</v>
      </c>
      <c r="E154" t="s">
        <v>574</v>
      </c>
      <c r="F154" t="str">
        <f t="shared" si="43"/>
        <v>Christine Wright</v>
      </c>
      <c r="G154" t="str">
        <f t="shared" si="44"/>
        <v>Christine</v>
      </c>
      <c r="H154" t="str">
        <f t="shared" si="45"/>
        <v>Wright</v>
      </c>
      <c r="I154" t="s">
        <v>61</v>
      </c>
      <c r="J154" t="str">
        <f t="shared" si="48"/>
        <v>East</v>
      </c>
      <c r="K154" t="s">
        <v>94</v>
      </c>
      <c r="L154" t="str">
        <f t="shared" si="49"/>
        <v>Birmingham</v>
      </c>
      <c r="M154" t="s">
        <v>112</v>
      </c>
      <c r="N154" t="str">
        <f t="shared" si="50"/>
        <v>Technology</v>
      </c>
      <c r="O154" t="s">
        <v>20</v>
      </c>
      <c r="P154" t="str">
        <f t="shared" si="51"/>
        <v>Laptop</v>
      </c>
      <c r="Q154" s="5">
        <v>10</v>
      </c>
      <c r="S154" s="6">
        <f t="shared" si="52"/>
        <v>0</v>
      </c>
      <c r="T154" t="s">
        <v>42</v>
      </c>
      <c r="U154" s="2">
        <f t="shared" si="53"/>
        <v>0.1</v>
      </c>
      <c r="V154">
        <v>274.77999999999997</v>
      </c>
      <c r="W154" s="2">
        <f t="shared" si="54"/>
        <v>274.77999999999997</v>
      </c>
      <c r="X154" t="s">
        <v>22</v>
      </c>
      <c r="Y154" t="str">
        <f t="shared" si="55"/>
        <v>Cash</v>
      </c>
      <c r="Z154" t="s">
        <v>56</v>
      </c>
      <c r="AA154" t="str">
        <f t="shared" si="56"/>
        <v>Cancelled</v>
      </c>
      <c r="AC154" s="8"/>
      <c r="AD154" t="str">
        <f t="shared" si="46"/>
        <v>06/23/2024</v>
      </c>
      <c r="AE154" t="b">
        <f t="shared" si="47"/>
        <v>1</v>
      </c>
    </row>
    <row r="155" spans="1:31" x14ac:dyDescent="0.35">
      <c r="A155" t="s">
        <v>575</v>
      </c>
      <c r="B155" t="s">
        <v>576</v>
      </c>
      <c r="C155" s="1">
        <f t="shared" si="42"/>
        <v>45700</v>
      </c>
      <c r="D155" t="s">
        <v>369</v>
      </c>
      <c r="E155" t="s">
        <v>577</v>
      </c>
      <c r="F155" t="str">
        <f t="shared" si="43"/>
        <v>Sarah Mcgee</v>
      </c>
      <c r="G155" t="str">
        <f t="shared" si="44"/>
        <v>Sarah</v>
      </c>
      <c r="H155" t="str">
        <f t="shared" si="45"/>
        <v>Mcgee</v>
      </c>
      <c r="I155" t="s">
        <v>17</v>
      </c>
      <c r="J155" t="str">
        <f t="shared" si="48"/>
        <v>West</v>
      </c>
      <c r="K155" t="s">
        <v>103</v>
      </c>
      <c r="L155" t="str">
        <f t="shared" si="49"/>
        <v>Norwich</v>
      </c>
      <c r="M155" t="s">
        <v>19</v>
      </c>
      <c r="N155" t="str">
        <f t="shared" si="50"/>
        <v>Technology</v>
      </c>
      <c r="O155" t="s">
        <v>158</v>
      </c>
      <c r="P155" t="str">
        <f t="shared" si="51"/>
        <v>Keyboard</v>
      </c>
      <c r="Q155" s="5">
        <v>2</v>
      </c>
      <c r="R155">
        <v>235.56</v>
      </c>
      <c r="S155" s="6">
        <f t="shared" si="52"/>
        <v>235.56</v>
      </c>
      <c r="T155">
        <v>0.2</v>
      </c>
      <c r="U155" s="2">
        <f t="shared" si="53"/>
        <v>0.2</v>
      </c>
      <c r="V155">
        <v>634.63</v>
      </c>
      <c r="W155" s="2">
        <f t="shared" si="54"/>
        <v>634.63</v>
      </c>
      <c r="X155" t="s">
        <v>49</v>
      </c>
      <c r="Y155" t="str">
        <f t="shared" si="55"/>
        <v>Card</v>
      </c>
      <c r="Z155" t="s">
        <v>23</v>
      </c>
      <c r="AA155" t="str">
        <f t="shared" si="56"/>
        <v>Completed</v>
      </c>
      <c r="AC155" s="8"/>
      <c r="AD155" t="str">
        <f t="shared" si="46"/>
        <v>12/02/2025</v>
      </c>
      <c r="AE155" t="b">
        <f t="shared" si="47"/>
        <v>0</v>
      </c>
    </row>
    <row r="156" spans="1:31" x14ac:dyDescent="0.35">
      <c r="A156" t="s">
        <v>578</v>
      </c>
      <c r="B156" t="s">
        <v>579</v>
      </c>
      <c r="C156" s="1">
        <f t="shared" si="42"/>
        <v>45681</v>
      </c>
      <c r="D156" t="s">
        <v>580</v>
      </c>
      <c r="E156" t="s">
        <v>581</v>
      </c>
      <c r="F156" t="str">
        <f t="shared" si="43"/>
        <v>Hannah Escobar</v>
      </c>
      <c r="G156" t="str">
        <f t="shared" si="44"/>
        <v>Hannah</v>
      </c>
      <c r="H156" t="str">
        <f t="shared" si="45"/>
        <v>Escobar</v>
      </c>
      <c r="I156" t="s">
        <v>17</v>
      </c>
      <c r="J156" t="str">
        <f t="shared" si="48"/>
        <v>West</v>
      </c>
      <c r="K156" t="s">
        <v>62</v>
      </c>
      <c r="L156" t="str">
        <f t="shared" si="49"/>
        <v>Leeds</v>
      </c>
      <c r="M156" t="s">
        <v>54</v>
      </c>
      <c r="N156" t="str">
        <f t="shared" si="50"/>
        <v>Furniture</v>
      </c>
      <c r="O156" t="s">
        <v>55</v>
      </c>
      <c r="P156" t="str">
        <f t="shared" si="51"/>
        <v>Chair</v>
      </c>
      <c r="Q156" s="5">
        <v>3</v>
      </c>
      <c r="R156">
        <v>649.30999999999995</v>
      </c>
      <c r="S156" s="6">
        <f t="shared" si="52"/>
        <v>649.30999999999995</v>
      </c>
      <c r="T156">
        <v>0</v>
      </c>
      <c r="U156" s="2">
        <f t="shared" si="53"/>
        <v>0</v>
      </c>
      <c r="V156">
        <v>513.41999999999996</v>
      </c>
      <c r="W156" s="2">
        <f t="shared" si="54"/>
        <v>513.41999999999996</v>
      </c>
      <c r="X156" t="s">
        <v>35</v>
      </c>
      <c r="Y156" t="str">
        <f t="shared" si="55"/>
        <v>Bank Transfer</v>
      </c>
      <c r="Z156" t="s">
        <v>56</v>
      </c>
      <c r="AA156" t="str">
        <f t="shared" si="56"/>
        <v>Cancelled</v>
      </c>
      <c r="AC156" s="8"/>
      <c r="AD156" t="str">
        <f t="shared" si="46"/>
        <v>24/01/2025</v>
      </c>
      <c r="AE156" t="b">
        <f t="shared" si="47"/>
        <v>0</v>
      </c>
    </row>
    <row r="157" spans="1:31" x14ac:dyDescent="0.35">
      <c r="A157" t="s">
        <v>582</v>
      </c>
      <c r="B157" t="s">
        <v>326</v>
      </c>
      <c r="C157" s="1">
        <f t="shared" si="42"/>
        <v>45503</v>
      </c>
      <c r="D157" t="s">
        <v>32</v>
      </c>
      <c r="E157" t="s">
        <v>288</v>
      </c>
      <c r="F157" t="str">
        <f t="shared" si="43"/>
        <v>Andrea Robinson</v>
      </c>
      <c r="G157" t="str">
        <f t="shared" si="44"/>
        <v>Andrea</v>
      </c>
      <c r="H157" t="str">
        <f t="shared" si="45"/>
        <v>Robinson</v>
      </c>
      <c r="I157" t="s">
        <v>18</v>
      </c>
      <c r="J157" t="str">
        <f t="shared" si="48"/>
        <v>London</v>
      </c>
      <c r="K157" t="s">
        <v>41</v>
      </c>
      <c r="L157" t="str">
        <f t="shared" si="49"/>
        <v>Manchester</v>
      </c>
      <c r="M157" t="s">
        <v>19</v>
      </c>
      <c r="N157" t="str">
        <f t="shared" si="50"/>
        <v>Technology</v>
      </c>
      <c r="O157" t="s">
        <v>158</v>
      </c>
      <c r="P157" t="str">
        <f t="shared" si="51"/>
        <v>Keyboard</v>
      </c>
      <c r="Q157" s="5">
        <v>15</v>
      </c>
      <c r="R157">
        <v>1489.13</v>
      </c>
      <c r="S157" s="6">
        <f t="shared" si="52"/>
        <v>1489.13</v>
      </c>
      <c r="T157">
        <v>0.2</v>
      </c>
      <c r="U157" s="2">
        <f t="shared" si="53"/>
        <v>0.2</v>
      </c>
      <c r="V157">
        <v>522.05999999999995</v>
      </c>
      <c r="W157" s="2">
        <f t="shared" si="54"/>
        <v>522.05999999999995</v>
      </c>
      <c r="X157" t="s">
        <v>35</v>
      </c>
      <c r="Y157" t="str">
        <f t="shared" si="55"/>
        <v>Bank Transfer</v>
      </c>
      <c r="Z157" t="s">
        <v>56</v>
      </c>
      <c r="AA157" t="str">
        <f t="shared" si="56"/>
        <v>Cancelled</v>
      </c>
      <c r="AC157" s="8"/>
      <c r="AD157" t="str">
        <f t="shared" si="46"/>
        <v>2024/07/30</v>
      </c>
      <c r="AE157" t="b">
        <f t="shared" si="47"/>
        <v>0</v>
      </c>
    </row>
    <row r="158" spans="1:31" x14ac:dyDescent="0.35">
      <c r="A158" t="s">
        <v>583</v>
      </c>
      <c r="B158" t="s">
        <v>584</v>
      </c>
      <c r="C158" s="1">
        <f t="shared" si="42"/>
        <v>45377</v>
      </c>
      <c r="D158" t="s">
        <v>585</v>
      </c>
      <c r="E158" t="s">
        <v>586</v>
      </c>
      <c r="F158" t="str">
        <f t="shared" si="43"/>
        <v>Tracy Herrera</v>
      </c>
      <c r="G158" t="str">
        <f t="shared" si="44"/>
        <v>Tracy</v>
      </c>
      <c r="H158" t="str">
        <f t="shared" si="45"/>
        <v>Herrera</v>
      </c>
      <c r="I158" t="s">
        <v>93</v>
      </c>
      <c r="J158" t="str">
        <f t="shared" si="48"/>
        <v>North</v>
      </c>
      <c r="K158" t="s">
        <v>103</v>
      </c>
      <c r="L158" t="str">
        <f t="shared" si="49"/>
        <v>Norwich</v>
      </c>
      <c r="M158" t="s">
        <v>112</v>
      </c>
      <c r="N158" t="str">
        <f t="shared" si="50"/>
        <v>Technology</v>
      </c>
      <c r="O158" t="s">
        <v>20</v>
      </c>
      <c r="P158" t="str">
        <f t="shared" si="51"/>
        <v>Laptop</v>
      </c>
      <c r="Q158" s="5">
        <v>8</v>
      </c>
      <c r="R158">
        <v>544.88</v>
      </c>
      <c r="S158" s="6">
        <f t="shared" si="52"/>
        <v>544.88</v>
      </c>
      <c r="T158" t="s">
        <v>42</v>
      </c>
      <c r="U158" s="2">
        <f t="shared" si="53"/>
        <v>0.1</v>
      </c>
      <c r="V158">
        <v>721.46</v>
      </c>
      <c r="W158" s="2">
        <f t="shared" si="54"/>
        <v>721.46</v>
      </c>
      <c r="X158" t="s">
        <v>22</v>
      </c>
      <c r="Y158" t="str">
        <f t="shared" si="55"/>
        <v>Cash</v>
      </c>
      <c r="Z158" t="s">
        <v>23</v>
      </c>
      <c r="AA158" t="str">
        <f t="shared" si="56"/>
        <v>Completed</v>
      </c>
      <c r="AC158" s="8"/>
      <c r="AD158" t="str">
        <f t="shared" si="46"/>
        <v>2024/03/26</v>
      </c>
      <c r="AE158" t="b">
        <f t="shared" si="47"/>
        <v>0</v>
      </c>
    </row>
    <row r="159" spans="1:31" x14ac:dyDescent="0.35">
      <c r="A159" t="s">
        <v>587</v>
      </c>
      <c r="B159" t="s">
        <v>588</v>
      </c>
      <c r="C159" s="1">
        <f t="shared" si="42"/>
        <v>45462</v>
      </c>
      <c r="D159" t="s">
        <v>589</v>
      </c>
      <c r="E159" t="s">
        <v>590</v>
      </c>
      <c r="F159" t="str">
        <f t="shared" si="43"/>
        <v>Daniel Edwards</v>
      </c>
      <c r="G159" t="str">
        <f t="shared" si="44"/>
        <v>Daniel</v>
      </c>
      <c r="H159" t="str">
        <f t="shared" si="45"/>
        <v>Edwards</v>
      </c>
      <c r="I159" t="s">
        <v>83</v>
      </c>
      <c r="J159" t="str">
        <f t="shared" si="48"/>
        <v>South</v>
      </c>
      <c r="K159" t="s">
        <v>94</v>
      </c>
      <c r="L159" t="str">
        <f t="shared" si="49"/>
        <v>Birmingham</v>
      </c>
      <c r="M159" t="s">
        <v>19</v>
      </c>
      <c r="N159" t="str">
        <f t="shared" si="50"/>
        <v>Technology</v>
      </c>
      <c r="O159" t="s">
        <v>88</v>
      </c>
      <c r="P159" t="str">
        <f t="shared" si="51"/>
        <v>Mouse</v>
      </c>
      <c r="Q159" s="5">
        <v>14</v>
      </c>
      <c r="R159">
        <v>505.43</v>
      </c>
      <c r="S159" s="6">
        <f t="shared" si="52"/>
        <v>505.43</v>
      </c>
      <c r="T159" t="s">
        <v>21</v>
      </c>
      <c r="U159" s="2">
        <f t="shared" si="53"/>
        <v>0.05</v>
      </c>
      <c r="V159">
        <v>859.79</v>
      </c>
      <c r="W159" s="2">
        <f t="shared" si="54"/>
        <v>859.79</v>
      </c>
      <c r="X159" t="s">
        <v>35</v>
      </c>
      <c r="Y159" t="str">
        <f t="shared" si="55"/>
        <v>Bank Transfer</v>
      </c>
      <c r="Z159" t="s">
        <v>23</v>
      </c>
      <c r="AA159" t="str">
        <f t="shared" si="56"/>
        <v>Completed</v>
      </c>
      <c r="AC159" s="8"/>
      <c r="AD159" t="str">
        <f t="shared" si="46"/>
        <v>2024/06/19</v>
      </c>
      <c r="AE159" t="b">
        <f t="shared" si="47"/>
        <v>0</v>
      </c>
    </row>
    <row r="160" spans="1:31" x14ac:dyDescent="0.35">
      <c r="A160" t="s">
        <v>591</v>
      </c>
      <c r="B160" t="s">
        <v>592</v>
      </c>
      <c r="C160" s="1">
        <f t="shared" si="42"/>
        <v>45441</v>
      </c>
      <c r="D160" t="s">
        <v>476</v>
      </c>
      <c r="E160" t="s">
        <v>593</v>
      </c>
      <c r="F160" t="str">
        <f t="shared" si="43"/>
        <v>Edgar Bishop</v>
      </c>
      <c r="G160" t="str">
        <f t="shared" si="44"/>
        <v>Edgar</v>
      </c>
      <c r="H160" t="str">
        <f t="shared" si="45"/>
        <v>Bishop</v>
      </c>
      <c r="I160" t="s">
        <v>83</v>
      </c>
      <c r="J160" t="str">
        <f t="shared" si="48"/>
        <v>South</v>
      </c>
      <c r="K160" t="s">
        <v>62</v>
      </c>
      <c r="L160" t="str">
        <f t="shared" si="49"/>
        <v>Leeds</v>
      </c>
      <c r="M160" t="s">
        <v>54</v>
      </c>
      <c r="N160" t="str">
        <f t="shared" si="50"/>
        <v>Furniture</v>
      </c>
      <c r="O160" t="s">
        <v>55</v>
      </c>
      <c r="P160" t="str">
        <f t="shared" si="51"/>
        <v>Chair</v>
      </c>
      <c r="Q160" s="5">
        <v>10</v>
      </c>
      <c r="R160">
        <v>492.2</v>
      </c>
      <c r="S160" s="6">
        <f t="shared" si="52"/>
        <v>492.2</v>
      </c>
      <c r="T160">
        <v>0.1</v>
      </c>
      <c r="U160" s="2">
        <f t="shared" si="53"/>
        <v>0.1</v>
      </c>
      <c r="V160">
        <v>786.29</v>
      </c>
      <c r="W160" s="2">
        <f t="shared" si="54"/>
        <v>786.29</v>
      </c>
      <c r="X160" t="s">
        <v>22</v>
      </c>
      <c r="Y160" t="str">
        <f t="shared" si="55"/>
        <v>Cash</v>
      </c>
      <c r="Z160" t="s">
        <v>23</v>
      </c>
      <c r="AA160" t="str">
        <f t="shared" si="56"/>
        <v>Completed</v>
      </c>
      <c r="AC160" s="8"/>
      <c r="AD160" t="str">
        <f t="shared" si="46"/>
        <v>05/29/2024</v>
      </c>
      <c r="AE160" t="b">
        <f t="shared" si="47"/>
        <v>1</v>
      </c>
    </row>
    <row r="161" spans="1:31" x14ac:dyDescent="0.35">
      <c r="A161" t="s">
        <v>594</v>
      </c>
      <c r="B161" t="s">
        <v>595</v>
      </c>
      <c r="C161" s="1">
        <f t="shared" si="42"/>
        <v>45399</v>
      </c>
      <c r="D161" t="s">
        <v>38</v>
      </c>
      <c r="E161" t="s">
        <v>596</v>
      </c>
      <c r="F161" t="str">
        <f t="shared" si="43"/>
        <v>Amanda Blair</v>
      </c>
      <c r="G161" t="str">
        <f t="shared" si="44"/>
        <v>Amanda</v>
      </c>
      <c r="H161" t="str">
        <f t="shared" si="45"/>
        <v>Blair</v>
      </c>
      <c r="I161" t="s">
        <v>18</v>
      </c>
      <c r="J161" t="str">
        <f t="shared" si="48"/>
        <v>London</v>
      </c>
      <c r="K161" t="s">
        <v>34</v>
      </c>
      <c r="L161" t="str">
        <f t="shared" si="49"/>
        <v>Bristol</v>
      </c>
      <c r="M161" t="s">
        <v>54</v>
      </c>
      <c r="N161" t="str">
        <f t="shared" si="50"/>
        <v>Furniture</v>
      </c>
      <c r="O161" t="s">
        <v>68</v>
      </c>
      <c r="P161" t="str">
        <f t="shared" si="51"/>
        <v>Cabinet</v>
      </c>
      <c r="Q161" s="5">
        <v>12</v>
      </c>
      <c r="R161">
        <v>1272.44</v>
      </c>
      <c r="S161" s="6">
        <f t="shared" si="52"/>
        <v>1272.44</v>
      </c>
      <c r="T161">
        <v>0.05</v>
      </c>
      <c r="U161" s="2">
        <f t="shared" si="53"/>
        <v>0.05</v>
      </c>
      <c r="V161">
        <v>673.63</v>
      </c>
      <c r="W161" s="2">
        <f t="shared" si="54"/>
        <v>673.63</v>
      </c>
      <c r="X161" t="s">
        <v>22</v>
      </c>
      <c r="Y161" t="str">
        <f t="shared" si="55"/>
        <v>Cash</v>
      </c>
      <c r="Z161" t="s">
        <v>56</v>
      </c>
      <c r="AA161" t="str">
        <f t="shared" si="56"/>
        <v>Cancelled</v>
      </c>
      <c r="AC161" s="8"/>
      <c r="AD161" t="str">
        <f t="shared" si="46"/>
        <v>2024/04/17</v>
      </c>
      <c r="AE161" t="b">
        <f t="shared" si="47"/>
        <v>0</v>
      </c>
    </row>
    <row r="162" spans="1:31" x14ac:dyDescent="0.35">
      <c r="A162" t="s">
        <v>597</v>
      </c>
      <c r="B162" t="s">
        <v>598</v>
      </c>
      <c r="C162" s="1">
        <f t="shared" ref="C162:C193" si="57" xml:space="preserve"> IF( MID(AD162,5,1) = "/", DATE( LEFT(AD162,4), MID(AD162,6,2), RIGHT(AD162,2)),  IF(VALUE(MID(AD162,FIND("/",AD162)+1,2)) &gt; 12, DATE(RIGHT(AD162,4), LEFT(AD162,2),MID(AD162,4,2) ),DATE( RIGHT(AD162,4), MID(AD162,4,2), LEFT(AD162,2))) )</f>
        <v>45521</v>
      </c>
      <c r="D162" t="s">
        <v>353</v>
      </c>
      <c r="E162" t="s">
        <v>599</v>
      </c>
      <c r="F162" t="str">
        <f t="shared" ref="F162:F193" si="58">TRIM(SUBSTITUTE(SUBSTITUTE(SUBSTITUTE(SUBSTITUTE(SUBSTITUTE(SUBSTITUTE(SUBSTITUTE(SUBSTITUTE(E162,"Dr. ","")," MD","")," PhD","")," DDS","")," DVM",""),"Mr. ",""),"Miss ",""),"Md",""))</f>
        <v>Edward Ruiz</v>
      </c>
      <c r="G162" t="str">
        <f t="shared" ref="G162:G193" si="59">TRIM(PROPER(_xlfn.TEXTBEFORE(F162," ",1)))</f>
        <v>Edward</v>
      </c>
      <c r="H162" t="str">
        <f t="shared" ref="H162:H193" si="60">PROPER(TRIM(_xlfn.TEXTAFTER(F162," ",-1)))</f>
        <v>Ruiz</v>
      </c>
      <c r="I162" t="s">
        <v>17</v>
      </c>
      <c r="J162" t="str">
        <f t="shared" si="48"/>
        <v>West</v>
      </c>
      <c r="K162" t="s">
        <v>103</v>
      </c>
      <c r="L162" t="str">
        <f t="shared" si="49"/>
        <v>Norwich</v>
      </c>
      <c r="M162" t="s">
        <v>54</v>
      </c>
      <c r="N162" t="str">
        <f t="shared" si="50"/>
        <v>Furniture</v>
      </c>
      <c r="O162" t="s">
        <v>74</v>
      </c>
      <c r="P162" t="str">
        <f t="shared" si="51"/>
        <v>Desk</v>
      </c>
      <c r="Q162" s="5">
        <v>7</v>
      </c>
      <c r="R162">
        <v>1385.63</v>
      </c>
      <c r="S162" s="6">
        <f t="shared" si="52"/>
        <v>1385.63</v>
      </c>
      <c r="T162">
        <v>0</v>
      </c>
      <c r="U162" s="2">
        <f t="shared" si="53"/>
        <v>0</v>
      </c>
      <c r="V162">
        <v>419.46</v>
      </c>
      <c r="W162" s="2">
        <f t="shared" si="54"/>
        <v>419.46</v>
      </c>
      <c r="X162" t="s">
        <v>22</v>
      </c>
      <c r="Y162" t="str">
        <f t="shared" si="55"/>
        <v>Cash</v>
      </c>
      <c r="Z162" t="s">
        <v>23</v>
      </c>
      <c r="AA162" t="str">
        <f t="shared" si="56"/>
        <v>Completed</v>
      </c>
      <c r="AC162" s="8"/>
      <c r="AD162" t="str">
        <f t="shared" ref="AD162:AD193" si="61">SUBSTITUTE(B162,"-","/")</f>
        <v>2024/08/17</v>
      </c>
      <c r="AE162" t="b">
        <f t="shared" ref="AE162:AE193" si="62">VALUE(MID(AD162,FIND("/",AD162)+1,2)) &gt; 12</f>
        <v>0</v>
      </c>
    </row>
    <row r="163" spans="1:31" x14ac:dyDescent="0.35">
      <c r="A163" t="s">
        <v>600</v>
      </c>
      <c r="B163" t="s">
        <v>601</v>
      </c>
      <c r="C163" s="1">
        <f t="shared" si="57"/>
        <v>45580</v>
      </c>
      <c r="D163" t="s">
        <v>294</v>
      </c>
      <c r="E163" t="s">
        <v>602</v>
      </c>
      <c r="F163" t="str">
        <f t="shared" si="58"/>
        <v>Kristina Haley</v>
      </c>
      <c r="G163" t="str">
        <f t="shared" si="59"/>
        <v>Kristina</v>
      </c>
      <c r="H163" t="str">
        <f t="shared" si="60"/>
        <v>Haley</v>
      </c>
      <c r="I163" t="s">
        <v>83</v>
      </c>
      <c r="J163" t="str">
        <f t="shared" si="48"/>
        <v>South</v>
      </c>
      <c r="K163" t="s">
        <v>94</v>
      </c>
      <c r="L163" t="str">
        <f t="shared" si="49"/>
        <v>Birmingham</v>
      </c>
      <c r="M163" t="s">
        <v>112</v>
      </c>
      <c r="N163" t="str">
        <f t="shared" si="50"/>
        <v>Technology</v>
      </c>
      <c r="O163" t="s">
        <v>20</v>
      </c>
      <c r="P163" t="str">
        <f t="shared" si="51"/>
        <v>Laptop</v>
      </c>
      <c r="Q163" s="5">
        <v>7</v>
      </c>
      <c r="R163">
        <v>500.74</v>
      </c>
      <c r="S163" s="6">
        <f t="shared" si="52"/>
        <v>500.74</v>
      </c>
      <c r="T163">
        <v>0</v>
      </c>
      <c r="U163" s="2">
        <f t="shared" si="53"/>
        <v>0</v>
      </c>
      <c r="V163">
        <v>107.73</v>
      </c>
      <c r="W163" s="2">
        <f t="shared" si="54"/>
        <v>107.73</v>
      </c>
      <c r="X163" t="s">
        <v>35</v>
      </c>
      <c r="Y163" t="str">
        <f t="shared" si="55"/>
        <v>Bank Transfer</v>
      </c>
      <c r="Z163" t="s">
        <v>56</v>
      </c>
      <c r="AA163" t="str">
        <f t="shared" si="56"/>
        <v>Cancelled</v>
      </c>
      <c r="AC163" s="8"/>
      <c r="AD163" t="str">
        <f t="shared" si="61"/>
        <v>10/15/2024</v>
      </c>
      <c r="AE163" t="b">
        <f t="shared" si="62"/>
        <v>1</v>
      </c>
    </row>
    <row r="164" spans="1:31" x14ac:dyDescent="0.35">
      <c r="A164" t="s">
        <v>603</v>
      </c>
      <c r="B164" t="s">
        <v>604</v>
      </c>
      <c r="C164" s="1">
        <f t="shared" si="57"/>
        <v>45593</v>
      </c>
      <c r="D164" t="s">
        <v>605</v>
      </c>
      <c r="E164" t="s">
        <v>606</v>
      </c>
      <c r="F164" t="str">
        <f t="shared" si="58"/>
        <v>Cassandra Henderson</v>
      </c>
      <c r="G164" t="str">
        <f t="shared" si="59"/>
        <v>Cassandra</v>
      </c>
      <c r="H164" t="str">
        <f t="shared" si="60"/>
        <v>Henderson</v>
      </c>
      <c r="I164" t="s">
        <v>144</v>
      </c>
      <c r="J164" t="str">
        <f t="shared" si="48"/>
        <v>Midlands</v>
      </c>
      <c r="K164" t="s">
        <v>94</v>
      </c>
      <c r="L164" t="str">
        <f t="shared" si="49"/>
        <v>Birmingham</v>
      </c>
      <c r="M164" t="s">
        <v>54</v>
      </c>
      <c r="N164" t="str">
        <f t="shared" si="50"/>
        <v>Furniture</v>
      </c>
      <c r="O164" t="s">
        <v>68</v>
      </c>
      <c r="P164" t="str">
        <f t="shared" si="51"/>
        <v>Cabinet</v>
      </c>
      <c r="Q164" s="5">
        <v>1</v>
      </c>
      <c r="R164">
        <v>446.67</v>
      </c>
      <c r="S164" s="6">
        <f t="shared" si="52"/>
        <v>446.67</v>
      </c>
      <c r="T164">
        <v>0.2</v>
      </c>
      <c r="U164" s="2">
        <f t="shared" si="53"/>
        <v>0.2</v>
      </c>
      <c r="V164">
        <v>87.68</v>
      </c>
      <c r="W164" s="2">
        <f t="shared" si="54"/>
        <v>87.68</v>
      </c>
      <c r="X164" t="s">
        <v>22</v>
      </c>
      <c r="Y164" t="str">
        <f t="shared" si="55"/>
        <v>Cash</v>
      </c>
      <c r="Z164" t="s">
        <v>56</v>
      </c>
      <c r="AA164" t="str">
        <f t="shared" si="56"/>
        <v>Cancelled</v>
      </c>
      <c r="AC164" s="8"/>
      <c r="AD164" t="str">
        <f t="shared" si="61"/>
        <v>2024/10/28</v>
      </c>
      <c r="AE164" t="b">
        <f t="shared" si="62"/>
        <v>0</v>
      </c>
    </row>
    <row r="165" spans="1:31" x14ac:dyDescent="0.35">
      <c r="A165" t="s">
        <v>607</v>
      </c>
      <c r="B165" t="s">
        <v>608</v>
      </c>
      <c r="C165" s="1">
        <f t="shared" si="57"/>
        <v>45341</v>
      </c>
      <c r="D165" t="s">
        <v>449</v>
      </c>
      <c r="E165" t="s">
        <v>609</v>
      </c>
      <c r="F165" t="str">
        <f t="shared" si="58"/>
        <v>David Hill</v>
      </c>
      <c r="G165" t="str">
        <f t="shared" si="59"/>
        <v>David</v>
      </c>
      <c r="H165" t="str">
        <f t="shared" si="60"/>
        <v>Hill</v>
      </c>
      <c r="I165" t="s">
        <v>40</v>
      </c>
      <c r="J165" t="str">
        <f t="shared" si="48"/>
        <v>North</v>
      </c>
      <c r="K165" t="s">
        <v>34</v>
      </c>
      <c r="L165" t="str">
        <f t="shared" si="49"/>
        <v>Bristol</v>
      </c>
      <c r="M165" t="s">
        <v>48</v>
      </c>
      <c r="N165" t="str">
        <f t="shared" si="50"/>
        <v>Technology</v>
      </c>
      <c r="O165" t="s">
        <v>88</v>
      </c>
      <c r="P165" t="str">
        <f t="shared" si="51"/>
        <v>Mouse</v>
      </c>
      <c r="Q165" s="5">
        <v>6</v>
      </c>
      <c r="R165">
        <v>71.8</v>
      </c>
      <c r="S165" s="6">
        <f t="shared" si="52"/>
        <v>71.8</v>
      </c>
      <c r="T165">
        <v>0.1</v>
      </c>
      <c r="U165" s="2">
        <f t="shared" si="53"/>
        <v>0.1</v>
      </c>
      <c r="V165">
        <v>24.54</v>
      </c>
      <c r="W165" s="2">
        <f t="shared" si="54"/>
        <v>24.54</v>
      </c>
      <c r="X165" t="s">
        <v>22</v>
      </c>
      <c r="Y165" t="str">
        <f t="shared" si="55"/>
        <v>Cash</v>
      </c>
      <c r="Z165" t="s">
        <v>23</v>
      </c>
      <c r="AA165" t="str">
        <f t="shared" si="56"/>
        <v>Completed</v>
      </c>
      <c r="AC165" s="8"/>
      <c r="AD165" t="str">
        <f t="shared" si="61"/>
        <v>02/19/2024</v>
      </c>
      <c r="AE165" t="b">
        <f t="shared" si="62"/>
        <v>1</v>
      </c>
    </row>
    <row r="166" spans="1:31" x14ac:dyDescent="0.35">
      <c r="A166" t="s">
        <v>610</v>
      </c>
      <c r="B166" t="s">
        <v>611</v>
      </c>
      <c r="C166" s="1">
        <f t="shared" si="57"/>
        <v>45461</v>
      </c>
      <c r="D166" t="s">
        <v>580</v>
      </c>
      <c r="E166" t="s">
        <v>612</v>
      </c>
      <c r="F166" t="str">
        <f t="shared" si="58"/>
        <v>Tyrone Simon</v>
      </c>
      <c r="G166" t="str">
        <f t="shared" si="59"/>
        <v>Tyrone</v>
      </c>
      <c r="H166" t="str">
        <f t="shared" si="60"/>
        <v>Simon</v>
      </c>
      <c r="I166" t="s">
        <v>83</v>
      </c>
      <c r="J166" t="str">
        <f t="shared" si="48"/>
        <v>South</v>
      </c>
      <c r="K166" t="s">
        <v>94</v>
      </c>
      <c r="L166" t="str">
        <f t="shared" si="49"/>
        <v>Birmingham</v>
      </c>
      <c r="M166" t="s">
        <v>28</v>
      </c>
      <c r="N166" t="str">
        <f t="shared" si="50"/>
        <v>Office Supplies</v>
      </c>
      <c r="O166" t="s">
        <v>29</v>
      </c>
      <c r="P166" t="str">
        <f t="shared" si="51"/>
        <v>Paper</v>
      </c>
      <c r="Q166" s="5">
        <v>4</v>
      </c>
      <c r="R166">
        <v>946.49</v>
      </c>
      <c r="S166" s="6">
        <f t="shared" si="52"/>
        <v>946.49</v>
      </c>
      <c r="T166" t="s">
        <v>42</v>
      </c>
      <c r="U166" s="2">
        <f t="shared" si="53"/>
        <v>0.1</v>
      </c>
      <c r="V166">
        <v>657.99</v>
      </c>
      <c r="W166" s="2">
        <f t="shared" si="54"/>
        <v>657.99</v>
      </c>
      <c r="X166" t="s">
        <v>69</v>
      </c>
      <c r="Y166" t="str">
        <f t="shared" si="55"/>
        <v>Paypal</v>
      </c>
      <c r="Z166" t="s">
        <v>56</v>
      </c>
      <c r="AA166" t="str">
        <f t="shared" si="56"/>
        <v>Cancelled</v>
      </c>
      <c r="AC166" s="8"/>
      <c r="AD166" t="str">
        <f t="shared" si="61"/>
        <v>06/18/2024</v>
      </c>
      <c r="AE166" t="b">
        <f t="shared" si="62"/>
        <v>1</v>
      </c>
    </row>
    <row r="167" spans="1:31" x14ac:dyDescent="0.35">
      <c r="A167" t="s">
        <v>613</v>
      </c>
      <c r="B167" t="s">
        <v>614</v>
      </c>
      <c r="C167" s="1">
        <f t="shared" si="57"/>
        <v>45397</v>
      </c>
      <c r="D167" t="s">
        <v>353</v>
      </c>
      <c r="E167" t="s">
        <v>615</v>
      </c>
      <c r="F167" t="str">
        <f t="shared" si="58"/>
        <v>Jason Little</v>
      </c>
      <c r="G167" t="str">
        <f t="shared" si="59"/>
        <v>Jason</v>
      </c>
      <c r="H167" t="str">
        <f t="shared" si="60"/>
        <v>Little</v>
      </c>
      <c r="I167" t="s">
        <v>93</v>
      </c>
      <c r="J167" t="str">
        <f t="shared" si="48"/>
        <v>North</v>
      </c>
      <c r="K167" t="s">
        <v>103</v>
      </c>
      <c r="L167" t="str">
        <f t="shared" si="49"/>
        <v>Norwich</v>
      </c>
      <c r="M167" t="s">
        <v>19</v>
      </c>
      <c r="N167" t="str">
        <f t="shared" si="50"/>
        <v>Technology</v>
      </c>
      <c r="O167" t="s">
        <v>135</v>
      </c>
      <c r="P167" t="str">
        <f t="shared" si="51"/>
        <v>Monitor</v>
      </c>
      <c r="Q167" s="5">
        <v>12</v>
      </c>
      <c r="R167">
        <v>98.53</v>
      </c>
      <c r="S167" s="6">
        <f t="shared" si="52"/>
        <v>98.53</v>
      </c>
      <c r="T167">
        <v>0.05</v>
      </c>
      <c r="U167" s="2">
        <f t="shared" si="53"/>
        <v>0.05</v>
      </c>
      <c r="V167">
        <v>872.24</v>
      </c>
      <c r="W167" s="2">
        <f t="shared" si="54"/>
        <v>872.24</v>
      </c>
      <c r="X167" t="s">
        <v>35</v>
      </c>
      <c r="Y167" t="str">
        <f t="shared" si="55"/>
        <v>Bank Transfer</v>
      </c>
      <c r="Z167" t="s">
        <v>56</v>
      </c>
      <c r="AA167" t="str">
        <f t="shared" si="56"/>
        <v>Cancelled</v>
      </c>
      <c r="AC167" s="8"/>
      <c r="AD167" t="str">
        <f t="shared" si="61"/>
        <v>15/04/2024</v>
      </c>
      <c r="AE167" t="b">
        <f t="shared" si="62"/>
        <v>0</v>
      </c>
    </row>
    <row r="168" spans="1:31" x14ac:dyDescent="0.35">
      <c r="A168" t="s">
        <v>616</v>
      </c>
      <c r="B168" t="s">
        <v>617</v>
      </c>
      <c r="C168" s="1">
        <f t="shared" si="57"/>
        <v>45541</v>
      </c>
      <c r="D168" t="s">
        <v>618</v>
      </c>
      <c r="E168" t="s">
        <v>619</v>
      </c>
      <c r="F168" t="str">
        <f t="shared" si="58"/>
        <v>Caroline Walker</v>
      </c>
      <c r="G168" t="str">
        <f t="shared" si="59"/>
        <v>Caroline</v>
      </c>
      <c r="H168" t="str">
        <f t="shared" si="60"/>
        <v>Walker</v>
      </c>
      <c r="I168" t="s">
        <v>17</v>
      </c>
      <c r="J168" t="str">
        <f t="shared" si="48"/>
        <v>West</v>
      </c>
      <c r="K168" t="s">
        <v>34</v>
      </c>
      <c r="L168" t="str">
        <f t="shared" si="49"/>
        <v>Bristol</v>
      </c>
      <c r="M168" t="s">
        <v>28</v>
      </c>
      <c r="N168" t="str">
        <f t="shared" si="50"/>
        <v>Office Supplies</v>
      </c>
      <c r="O168" t="s">
        <v>153</v>
      </c>
      <c r="P168" t="str">
        <f t="shared" si="51"/>
        <v>Stapler</v>
      </c>
      <c r="Q168" s="5">
        <v>10</v>
      </c>
      <c r="R168">
        <v>531.22</v>
      </c>
      <c r="S168" s="6">
        <f t="shared" si="52"/>
        <v>531.22</v>
      </c>
      <c r="T168">
        <v>0.2</v>
      </c>
      <c r="U168" s="2">
        <f t="shared" si="53"/>
        <v>0.2</v>
      </c>
      <c r="V168">
        <v>174.18</v>
      </c>
      <c r="W168" s="2">
        <f t="shared" si="54"/>
        <v>174.18</v>
      </c>
      <c r="X168" t="s">
        <v>22</v>
      </c>
      <c r="Y168" t="str">
        <f t="shared" si="55"/>
        <v>Cash</v>
      </c>
      <c r="Z168" t="s">
        <v>23</v>
      </c>
      <c r="AA168" t="str">
        <f t="shared" si="56"/>
        <v>Completed</v>
      </c>
      <c r="AC168" s="8"/>
      <c r="AD168" t="str">
        <f t="shared" si="61"/>
        <v>06/09/2024</v>
      </c>
      <c r="AE168" t="b">
        <f t="shared" si="62"/>
        <v>0</v>
      </c>
    </row>
    <row r="169" spans="1:31" x14ac:dyDescent="0.35">
      <c r="A169" t="s">
        <v>620</v>
      </c>
      <c r="B169" t="s">
        <v>621</v>
      </c>
      <c r="C169" s="1">
        <f t="shared" si="57"/>
        <v>45448</v>
      </c>
      <c r="D169" t="s">
        <v>129</v>
      </c>
      <c r="E169" t="s">
        <v>622</v>
      </c>
      <c r="F169" t="str">
        <f t="shared" si="58"/>
        <v>Suzanne Vargas</v>
      </c>
      <c r="G169" t="str">
        <f t="shared" si="59"/>
        <v>Suzanne</v>
      </c>
      <c r="H169" t="str">
        <f t="shared" si="60"/>
        <v>Vargas</v>
      </c>
      <c r="I169" t="s">
        <v>40</v>
      </c>
      <c r="J169" t="str">
        <f t="shared" si="48"/>
        <v>North</v>
      </c>
      <c r="K169" t="s">
        <v>62</v>
      </c>
      <c r="L169" t="str">
        <f t="shared" si="49"/>
        <v>Leeds</v>
      </c>
      <c r="M169" t="s">
        <v>19</v>
      </c>
      <c r="N169" t="str">
        <f t="shared" si="50"/>
        <v>Technology</v>
      </c>
      <c r="O169" t="s">
        <v>135</v>
      </c>
      <c r="P169" t="str">
        <f t="shared" si="51"/>
        <v>Monitor</v>
      </c>
      <c r="Q169" s="5">
        <v>6</v>
      </c>
      <c r="R169">
        <v>768.68</v>
      </c>
      <c r="S169" s="6">
        <f t="shared" si="52"/>
        <v>768.68</v>
      </c>
      <c r="T169" t="s">
        <v>42</v>
      </c>
      <c r="U169" s="2">
        <f t="shared" si="53"/>
        <v>0.1</v>
      </c>
      <c r="V169">
        <v>139.59</v>
      </c>
      <c r="W169" s="2">
        <f t="shared" si="54"/>
        <v>139.59</v>
      </c>
      <c r="X169" t="s">
        <v>22</v>
      </c>
      <c r="Y169" t="str">
        <f t="shared" si="55"/>
        <v>Cash</v>
      </c>
      <c r="Z169" t="s">
        <v>56</v>
      </c>
      <c r="AA169" t="str">
        <f t="shared" si="56"/>
        <v>Cancelled</v>
      </c>
      <c r="AC169" s="8"/>
      <c r="AD169" t="str">
        <f t="shared" si="61"/>
        <v>05/06/2024</v>
      </c>
      <c r="AE169" t="b">
        <f t="shared" si="62"/>
        <v>0</v>
      </c>
    </row>
    <row r="170" spans="1:31" x14ac:dyDescent="0.35">
      <c r="A170" t="s">
        <v>623</v>
      </c>
      <c r="B170" t="s">
        <v>624</v>
      </c>
      <c r="C170" s="1">
        <f t="shared" si="57"/>
        <v>45387</v>
      </c>
      <c r="D170" t="s">
        <v>466</v>
      </c>
      <c r="E170" t="s">
        <v>625</v>
      </c>
      <c r="F170" t="str">
        <f t="shared" si="58"/>
        <v>Christopher Hicks</v>
      </c>
      <c r="G170" t="str">
        <f t="shared" si="59"/>
        <v>Christopher</v>
      </c>
      <c r="H170" t="str">
        <f t="shared" si="60"/>
        <v>Hicks</v>
      </c>
      <c r="I170" t="s">
        <v>93</v>
      </c>
      <c r="J170" t="str">
        <f t="shared" si="48"/>
        <v>North</v>
      </c>
      <c r="K170" t="s">
        <v>94</v>
      </c>
      <c r="L170" t="str">
        <f t="shared" si="49"/>
        <v>Birmingham</v>
      </c>
      <c r="M170" t="s">
        <v>48</v>
      </c>
      <c r="N170" t="str">
        <f t="shared" si="50"/>
        <v>Technology</v>
      </c>
      <c r="O170" t="s">
        <v>135</v>
      </c>
      <c r="P170" t="str">
        <f t="shared" si="51"/>
        <v>Monitor</v>
      </c>
      <c r="Q170" s="5">
        <v>1</v>
      </c>
      <c r="R170">
        <v>1428</v>
      </c>
      <c r="S170" s="6">
        <f t="shared" si="52"/>
        <v>1428</v>
      </c>
      <c r="T170" t="s">
        <v>42</v>
      </c>
      <c r="U170" s="2">
        <f t="shared" si="53"/>
        <v>0.1</v>
      </c>
      <c r="V170">
        <v>196.74</v>
      </c>
      <c r="W170" s="2">
        <f t="shared" si="54"/>
        <v>196.74</v>
      </c>
      <c r="X170" t="s">
        <v>69</v>
      </c>
      <c r="Y170" t="str">
        <f t="shared" si="55"/>
        <v>Paypal</v>
      </c>
      <c r="Z170" t="s">
        <v>56</v>
      </c>
      <c r="AA170" t="str">
        <f t="shared" si="56"/>
        <v>Cancelled</v>
      </c>
      <c r="AC170" s="8"/>
      <c r="AD170" t="str">
        <f t="shared" si="61"/>
        <v>2024/04/05</v>
      </c>
      <c r="AE170" t="b">
        <f t="shared" si="62"/>
        <v>0</v>
      </c>
    </row>
    <row r="171" spans="1:31" x14ac:dyDescent="0.35">
      <c r="A171" t="s">
        <v>626</v>
      </c>
      <c r="B171" t="s">
        <v>627</v>
      </c>
      <c r="C171" s="1">
        <f t="shared" si="57"/>
        <v>45377</v>
      </c>
      <c r="D171" t="s">
        <v>628</v>
      </c>
      <c r="E171" t="s">
        <v>629</v>
      </c>
      <c r="F171" t="str">
        <f t="shared" si="58"/>
        <v>Caitlin Haley</v>
      </c>
      <c r="G171" t="str">
        <f t="shared" si="59"/>
        <v>Caitlin</v>
      </c>
      <c r="H171" t="str">
        <f t="shared" si="60"/>
        <v>Haley</v>
      </c>
      <c r="I171" t="s">
        <v>93</v>
      </c>
      <c r="J171" t="str">
        <f t="shared" si="48"/>
        <v>North</v>
      </c>
      <c r="K171" t="s">
        <v>62</v>
      </c>
      <c r="L171" t="str">
        <f t="shared" si="49"/>
        <v>Leeds</v>
      </c>
      <c r="M171" t="s">
        <v>54</v>
      </c>
      <c r="N171" t="str">
        <f t="shared" si="50"/>
        <v>Furniture</v>
      </c>
      <c r="O171" t="s">
        <v>55</v>
      </c>
      <c r="P171" t="str">
        <f t="shared" si="51"/>
        <v>Chair</v>
      </c>
      <c r="Q171" s="5">
        <v>1</v>
      </c>
      <c r="S171" s="6">
        <f t="shared" si="52"/>
        <v>0</v>
      </c>
      <c r="T171">
        <v>0.1</v>
      </c>
      <c r="U171" s="2">
        <f t="shared" si="53"/>
        <v>0.1</v>
      </c>
      <c r="V171">
        <v>226.39</v>
      </c>
      <c r="W171" s="2">
        <f t="shared" si="54"/>
        <v>226.39</v>
      </c>
      <c r="X171" t="s">
        <v>49</v>
      </c>
      <c r="Y171" t="str">
        <f t="shared" si="55"/>
        <v>Card</v>
      </c>
      <c r="Z171" t="s">
        <v>23</v>
      </c>
      <c r="AA171" t="str">
        <f t="shared" si="56"/>
        <v>Completed</v>
      </c>
      <c r="AC171" s="8"/>
      <c r="AD171" t="str">
        <f t="shared" si="61"/>
        <v>26/03/2024</v>
      </c>
      <c r="AE171" t="b">
        <f t="shared" si="62"/>
        <v>0</v>
      </c>
    </row>
    <row r="172" spans="1:31" x14ac:dyDescent="0.35">
      <c r="A172" t="s">
        <v>630</v>
      </c>
      <c r="B172" t="s">
        <v>631</v>
      </c>
      <c r="C172" s="1">
        <f t="shared" si="57"/>
        <v>45569</v>
      </c>
      <c r="D172" t="s">
        <v>81</v>
      </c>
      <c r="E172" t="s">
        <v>632</v>
      </c>
      <c r="F172" t="str">
        <f t="shared" si="58"/>
        <v>Jamie Bruce</v>
      </c>
      <c r="G172" t="str">
        <f t="shared" si="59"/>
        <v>Jamie</v>
      </c>
      <c r="H172" t="str">
        <f t="shared" si="60"/>
        <v>Bruce</v>
      </c>
      <c r="I172" t="s">
        <v>47</v>
      </c>
      <c r="J172" t="str">
        <f t="shared" si="48"/>
        <v>East</v>
      </c>
      <c r="K172" t="s">
        <v>94</v>
      </c>
      <c r="L172" t="str">
        <f t="shared" si="49"/>
        <v>Birmingham</v>
      </c>
      <c r="M172" t="s">
        <v>48</v>
      </c>
      <c r="N172" t="str">
        <f t="shared" si="50"/>
        <v>Technology</v>
      </c>
      <c r="O172" t="s">
        <v>158</v>
      </c>
      <c r="P172" t="str">
        <f t="shared" si="51"/>
        <v>Keyboard</v>
      </c>
      <c r="Q172" s="5">
        <v>12</v>
      </c>
      <c r="R172">
        <v>331.72</v>
      </c>
      <c r="S172" s="6">
        <f t="shared" si="52"/>
        <v>331.72</v>
      </c>
      <c r="T172">
        <v>0.2</v>
      </c>
      <c r="U172" s="2">
        <f t="shared" si="53"/>
        <v>0.2</v>
      </c>
      <c r="V172">
        <v>736.52</v>
      </c>
      <c r="W172" s="2">
        <f t="shared" si="54"/>
        <v>736.52</v>
      </c>
      <c r="X172" t="s">
        <v>35</v>
      </c>
      <c r="Y172" t="str">
        <f t="shared" si="55"/>
        <v>Bank Transfer</v>
      </c>
      <c r="Z172" t="s">
        <v>23</v>
      </c>
      <c r="AA172" t="str">
        <f t="shared" si="56"/>
        <v>Completed</v>
      </c>
      <c r="AC172" s="8"/>
      <c r="AD172" t="str">
        <f t="shared" si="61"/>
        <v>2024/10/04</v>
      </c>
      <c r="AE172" t="b">
        <f t="shared" si="62"/>
        <v>0</v>
      </c>
    </row>
    <row r="173" spans="1:31" x14ac:dyDescent="0.35">
      <c r="A173" t="s">
        <v>633</v>
      </c>
      <c r="B173" t="s">
        <v>634</v>
      </c>
      <c r="C173" s="1">
        <f t="shared" si="57"/>
        <v>45735</v>
      </c>
      <c r="D173" t="s">
        <v>635</v>
      </c>
      <c r="E173" t="s">
        <v>636</v>
      </c>
      <c r="F173" t="str">
        <f t="shared" si="58"/>
        <v>Christopher Chen</v>
      </c>
      <c r="G173" t="str">
        <f t="shared" si="59"/>
        <v>Christopher</v>
      </c>
      <c r="H173" t="str">
        <f t="shared" si="60"/>
        <v>Chen</v>
      </c>
      <c r="I173" t="s">
        <v>40</v>
      </c>
      <c r="J173" t="str">
        <f t="shared" si="48"/>
        <v>North</v>
      </c>
      <c r="K173" t="s">
        <v>18</v>
      </c>
      <c r="L173" t="str">
        <f t="shared" si="49"/>
        <v>London</v>
      </c>
      <c r="M173" t="s">
        <v>19</v>
      </c>
      <c r="N173" t="str">
        <f t="shared" si="50"/>
        <v>Technology</v>
      </c>
      <c r="O173" t="s">
        <v>88</v>
      </c>
      <c r="P173" t="str">
        <f t="shared" si="51"/>
        <v>Mouse</v>
      </c>
      <c r="Q173" s="5">
        <v>4</v>
      </c>
      <c r="R173">
        <v>1107.73</v>
      </c>
      <c r="S173" s="6">
        <f t="shared" si="52"/>
        <v>1107.73</v>
      </c>
      <c r="T173" t="s">
        <v>21</v>
      </c>
      <c r="U173" s="2">
        <f t="shared" si="53"/>
        <v>0.05</v>
      </c>
      <c r="V173">
        <v>861.33</v>
      </c>
      <c r="W173" s="2">
        <f t="shared" si="54"/>
        <v>861.33</v>
      </c>
      <c r="X173" t="s">
        <v>22</v>
      </c>
      <c r="Y173" t="str">
        <f t="shared" si="55"/>
        <v>Cash</v>
      </c>
      <c r="Z173" t="s">
        <v>23</v>
      </c>
      <c r="AA173" t="str">
        <f t="shared" si="56"/>
        <v>Completed</v>
      </c>
      <c r="AC173" s="8"/>
      <c r="AD173" t="str">
        <f t="shared" si="61"/>
        <v>03/19/2025</v>
      </c>
      <c r="AE173" t="b">
        <f t="shared" si="62"/>
        <v>1</v>
      </c>
    </row>
    <row r="174" spans="1:31" x14ac:dyDescent="0.35">
      <c r="A174" t="s">
        <v>637</v>
      </c>
      <c r="B174" t="s">
        <v>638</v>
      </c>
      <c r="C174" s="1">
        <f t="shared" si="57"/>
        <v>45564</v>
      </c>
      <c r="D174" t="s">
        <v>639</v>
      </c>
      <c r="E174" t="s">
        <v>640</v>
      </c>
      <c r="F174" t="str">
        <f t="shared" si="58"/>
        <v>Jordan Walker</v>
      </c>
      <c r="G174" t="str">
        <f t="shared" si="59"/>
        <v>Jordan</v>
      </c>
      <c r="H174" t="str">
        <f t="shared" si="60"/>
        <v>Walker</v>
      </c>
      <c r="I174" t="s">
        <v>40</v>
      </c>
      <c r="J174" t="str">
        <f t="shared" si="48"/>
        <v>North</v>
      </c>
      <c r="K174" t="s">
        <v>94</v>
      </c>
      <c r="L174" t="str">
        <f t="shared" si="49"/>
        <v>Birmingham</v>
      </c>
      <c r="M174" t="s">
        <v>28</v>
      </c>
      <c r="N174" t="str">
        <f t="shared" si="50"/>
        <v>Office Supplies</v>
      </c>
      <c r="O174" t="s">
        <v>63</v>
      </c>
      <c r="P174" t="str">
        <f t="shared" si="51"/>
        <v>Pen</v>
      </c>
      <c r="Q174" s="5">
        <v>9</v>
      </c>
      <c r="R174">
        <v>1468.61</v>
      </c>
      <c r="S174" s="6">
        <f t="shared" si="52"/>
        <v>1468.61</v>
      </c>
      <c r="T174" t="s">
        <v>21</v>
      </c>
      <c r="U174" s="2">
        <f t="shared" si="53"/>
        <v>0.05</v>
      </c>
      <c r="V174">
        <v>573.59</v>
      </c>
      <c r="W174" s="2">
        <f t="shared" si="54"/>
        <v>573.59</v>
      </c>
      <c r="X174" t="s">
        <v>49</v>
      </c>
      <c r="Y174" t="str">
        <f t="shared" si="55"/>
        <v>Card</v>
      </c>
      <c r="Z174" t="s">
        <v>23</v>
      </c>
      <c r="AA174" t="str">
        <f t="shared" si="56"/>
        <v>Completed</v>
      </c>
      <c r="AC174" s="8"/>
      <c r="AD174" t="str">
        <f t="shared" si="61"/>
        <v>29/09/2024</v>
      </c>
      <c r="AE174" t="b">
        <f t="shared" si="62"/>
        <v>0</v>
      </c>
    </row>
    <row r="175" spans="1:31" x14ac:dyDescent="0.35">
      <c r="A175" t="s">
        <v>641</v>
      </c>
      <c r="B175" t="s">
        <v>642</v>
      </c>
      <c r="C175" s="1">
        <f t="shared" si="57"/>
        <v>45419</v>
      </c>
      <c r="D175" t="s">
        <v>635</v>
      </c>
      <c r="E175" t="s">
        <v>643</v>
      </c>
      <c r="F175" t="str">
        <f t="shared" si="58"/>
        <v>Jennifer Medina</v>
      </c>
      <c r="G175" t="str">
        <f t="shared" si="59"/>
        <v>Jennifer</v>
      </c>
      <c r="H175" t="str">
        <f t="shared" si="60"/>
        <v>Medina</v>
      </c>
      <c r="I175" t="s">
        <v>61</v>
      </c>
      <c r="J175" t="str">
        <f t="shared" si="48"/>
        <v>East</v>
      </c>
      <c r="K175" t="s">
        <v>94</v>
      </c>
      <c r="L175" t="str">
        <f t="shared" si="49"/>
        <v>Birmingham</v>
      </c>
      <c r="M175" t="s">
        <v>112</v>
      </c>
      <c r="N175" t="str">
        <f t="shared" si="50"/>
        <v>Technology</v>
      </c>
      <c r="O175" t="s">
        <v>135</v>
      </c>
      <c r="P175" t="str">
        <f t="shared" si="51"/>
        <v>Monitor</v>
      </c>
      <c r="Q175" s="5">
        <v>6</v>
      </c>
      <c r="R175">
        <v>1143.4000000000001</v>
      </c>
      <c r="S175" s="6">
        <f t="shared" si="52"/>
        <v>1143.4000000000001</v>
      </c>
      <c r="T175" t="s">
        <v>21</v>
      </c>
      <c r="U175" s="2">
        <f t="shared" si="53"/>
        <v>0.05</v>
      </c>
      <c r="V175">
        <v>490.48</v>
      </c>
      <c r="W175" s="2">
        <f t="shared" si="54"/>
        <v>490.48</v>
      </c>
      <c r="X175" t="s">
        <v>69</v>
      </c>
      <c r="Y175" t="str">
        <f t="shared" si="55"/>
        <v>Paypal</v>
      </c>
      <c r="Z175" t="s">
        <v>23</v>
      </c>
      <c r="AA175" t="str">
        <f t="shared" si="56"/>
        <v>Completed</v>
      </c>
      <c r="AC175" s="8"/>
      <c r="AD175" t="str">
        <f t="shared" si="61"/>
        <v>07/05/2024</v>
      </c>
      <c r="AE175" t="b">
        <f t="shared" si="62"/>
        <v>0</v>
      </c>
    </row>
    <row r="176" spans="1:31" x14ac:dyDescent="0.35">
      <c r="A176" t="s">
        <v>644</v>
      </c>
      <c r="B176" t="s">
        <v>458</v>
      </c>
      <c r="C176" s="1">
        <f t="shared" si="57"/>
        <v>45555</v>
      </c>
      <c r="D176" t="s">
        <v>537</v>
      </c>
      <c r="E176" t="s">
        <v>645</v>
      </c>
      <c r="F176" t="str">
        <f t="shared" si="58"/>
        <v>Matthew Morgan</v>
      </c>
      <c r="G176" t="str">
        <f t="shared" si="59"/>
        <v>Matthew</v>
      </c>
      <c r="H176" t="str">
        <f t="shared" si="60"/>
        <v>Morgan</v>
      </c>
      <c r="I176" t="s">
        <v>93</v>
      </c>
      <c r="J176" t="str">
        <f t="shared" si="48"/>
        <v>North</v>
      </c>
      <c r="K176" t="s">
        <v>34</v>
      </c>
      <c r="L176" t="str">
        <f t="shared" si="49"/>
        <v>Bristol</v>
      </c>
      <c r="M176" t="s">
        <v>19</v>
      </c>
      <c r="N176" t="str">
        <f t="shared" si="50"/>
        <v>Technology</v>
      </c>
      <c r="O176" t="s">
        <v>88</v>
      </c>
      <c r="P176" t="str">
        <f t="shared" si="51"/>
        <v>Mouse</v>
      </c>
      <c r="Q176" s="5">
        <v>15</v>
      </c>
      <c r="R176">
        <v>1425.63</v>
      </c>
      <c r="S176" s="6">
        <f t="shared" si="52"/>
        <v>1425.63</v>
      </c>
      <c r="T176">
        <v>0.2</v>
      </c>
      <c r="U176" s="2">
        <f t="shared" si="53"/>
        <v>0.2</v>
      </c>
      <c r="V176">
        <v>4.47</v>
      </c>
      <c r="W176" s="2">
        <f t="shared" si="54"/>
        <v>4.47</v>
      </c>
      <c r="X176" t="s">
        <v>35</v>
      </c>
      <c r="Y176" t="str">
        <f t="shared" si="55"/>
        <v>Bank Transfer</v>
      </c>
      <c r="Z176" t="s">
        <v>23</v>
      </c>
      <c r="AA176" t="str">
        <f t="shared" si="56"/>
        <v>Completed</v>
      </c>
      <c r="AC176" s="8"/>
      <c r="AD176" t="str">
        <f t="shared" si="61"/>
        <v>09/20/2024</v>
      </c>
      <c r="AE176" t="b">
        <f t="shared" si="62"/>
        <v>1</v>
      </c>
    </row>
    <row r="177" spans="1:31" x14ac:dyDescent="0.35">
      <c r="A177" t="s">
        <v>646</v>
      </c>
      <c r="B177" t="s">
        <v>305</v>
      </c>
      <c r="C177" s="1">
        <f t="shared" si="57"/>
        <v>45403</v>
      </c>
      <c r="D177" t="s">
        <v>182</v>
      </c>
      <c r="E177" t="s">
        <v>647</v>
      </c>
      <c r="F177" t="str">
        <f t="shared" si="58"/>
        <v>Cheryl Watts</v>
      </c>
      <c r="G177" t="str">
        <f t="shared" si="59"/>
        <v>Cheryl</v>
      </c>
      <c r="H177" t="str">
        <f t="shared" si="60"/>
        <v>Watts</v>
      </c>
      <c r="I177" t="s">
        <v>47</v>
      </c>
      <c r="J177" t="str">
        <f t="shared" si="48"/>
        <v>East</v>
      </c>
      <c r="K177" t="s">
        <v>103</v>
      </c>
      <c r="L177" t="str">
        <f t="shared" si="49"/>
        <v>Norwich</v>
      </c>
      <c r="M177" t="s">
        <v>28</v>
      </c>
      <c r="N177" t="str">
        <f t="shared" si="50"/>
        <v>Office Supplies</v>
      </c>
      <c r="O177" t="s">
        <v>63</v>
      </c>
      <c r="P177" t="str">
        <f t="shared" si="51"/>
        <v>Pen</v>
      </c>
      <c r="Q177" s="5">
        <v>8</v>
      </c>
      <c r="R177">
        <v>1243.3699999999999</v>
      </c>
      <c r="S177" s="6">
        <f t="shared" si="52"/>
        <v>1243.3699999999999</v>
      </c>
      <c r="T177" t="s">
        <v>21</v>
      </c>
      <c r="U177" s="2">
        <f t="shared" si="53"/>
        <v>0.05</v>
      </c>
      <c r="V177">
        <v>578.78</v>
      </c>
      <c r="W177" s="2">
        <f t="shared" si="54"/>
        <v>578.78</v>
      </c>
      <c r="X177" t="s">
        <v>49</v>
      </c>
      <c r="Y177" t="str">
        <f t="shared" si="55"/>
        <v>Card</v>
      </c>
      <c r="Z177" t="s">
        <v>56</v>
      </c>
      <c r="AA177" t="str">
        <f t="shared" si="56"/>
        <v>Cancelled</v>
      </c>
      <c r="AC177" s="8"/>
      <c r="AD177" t="str">
        <f t="shared" si="61"/>
        <v>04/21/2024</v>
      </c>
      <c r="AE177" t="b">
        <f t="shared" si="62"/>
        <v>1</v>
      </c>
    </row>
    <row r="178" spans="1:31" x14ac:dyDescent="0.35">
      <c r="A178" t="s">
        <v>648</v>
      </c>
      <c r="B178" t="s">
        <v>649</v>
      </c>
      <c r="C178" s="1">
        <f t="shared" si="57"/>
        <v>45767</v>
      </c>
      <c r="D178" t="s">
        <v>226</v>
      </c>
      <c r="E178" t="s">
        <v>650</v>
      </c>
      <c r="F178" t="str">
        <f t="shared" si="58"/>
        <v>Karen Owen</v>
      </c>
      <c r="G178" t="str">
        <f t="shared" si="59"/>
        <v>Karen</v>
      </c>
      <c r="H178" t="str">
        <f t="shared" si="60"/>
        <v>Owen</v>
      </c>
      <c r="I178" t="s">
        <v>18</v>
      </c>
      <c r="J178" t="str">
        <f t="shared" si="48"/>
        <v>London</v>
      </c>
      <c r="K178" t="s">
        <v>103</v>
      </c>
      <c r="L178" t="str">
        <f t="shared" si="49"/>
        <v>Norwich</v>
      </c>
      <c r="M178" t="s">
        <v>19</v>
      </c>
      <c r="N178" t="str">
        <f t="shared" si="50"/>
        <v>Technology</v>
      </c>
      <c r="O178" t="s">
        <v>20</v>
      </c>
      <c r="P178" t="str">
        <f t="shared" si="51"/>
        <v>Laptop</v>
      </c>
      <c r="Q178" s="5">
        <v>1</v>
      </c>
      <c r="R178">
        <v>644.55999999999995</v>
      </c>
      <c r="S178" s="6">
        <f t="shared" si="52"/>
        <v>644.55999999999995</v>
      </c>
      <c r="T178">
        <v>0.2</v>
      </c>
      <c r="U178" s="2">
        <f t="shared" si="53"/>
        <v>0.2</v>
      </c>
      <c r="V178">
        <v>909.59</v>
      </c>
      <c r="W178" s="2">
        <f t="shared" si="54"/>
        <v>909.59</v>
      </c>
      <c r="X178" t="s">
        <v>35</v>
      </c>
      <c r="Y178" t="str">
        <f t="shared" si="55"/>
        <v>Bank Transfer</v>
      </c>
      <c r="Z178" t="s">
        <v>23</v>
      </c>
      <c r="AA178" t="str">
        <f t="shared" si="56"/>
        <v>Completed</v>
      </c>
      <c r="AC178" s="8"/>
      <c r="AD178" t="str">
        <f t="shared" si="61"/>
        <v>2025/04/20</v>
      </c>
      <c r="AE178" t="b">
        <f t="shared" si="62"/>
        <v>0</v>
      </c>
    </row>
    <row r="179" spans="1:31" x14ac:dyDescent="0.35">
      <c r="A179" t="s">
        <v>651</v>
      </c>
      <c r="B179" t="s">
        <v>652</v>
      </c>
      <c r="C179" s="1">
        <f t="shared" si="57"/>
        <v>45632</v>
      </c>
      <c r="D179" t="s">
        <v>618</v>
      </c>
      <c r="E179" t="s">
        <v>653</v>
      </c>
      <c r="F179" t="str">
        <f t="shared" si="58"/>
        <v>Gary Galloway</v>
      </c>
      <c r="G179" t="str">
        <f t="shared" si="59"/>
        <v>Gary</v>
      </c>
      <c r="H179" t="str">
        <f t="shared" si="60"/>
        <v>Galloway</v>
      </c>
      <c r="I179" t="s">
        <v>83</v>
      </c>
      <c r="J179" t="str">
        <f t="shared" si="48"/>
        <v>South</v>
      </c>
      <c r="K179" t="s">
        <v>94</v>
      </c>
      <c r="L179" t="str">
        <f t="shared" si="49"/>
        <v>Birmingham</v>
      </c>
      <c r="M179" t="s">
        <v>19</v>
      </c>
      <c r="N179" t="str">
        <f t="shared" si="50"/>
        <v>Technology</v>
      </c>
      <c r="O179" t="s">
        <v>158</v>
      </c>
      <c r="P179" t="str">
        <f t="shared" si="51"/>
        <v>Keyboard</v>
      </c>
      <c r="Q179" s="5">
        <v>7</v>
      </c>
      <c r="R179">
        <v>1090.3499999999999</v>
      </c>
      <c r="S179" s="6">
        <f t="shared" si="52"/>
        <v>1090.3499999999999</v>
      </c>
      <c r="T179">
        <v>0</v>
      </c>
      <c r="U179" s="2">
        <f t="shared" si="53"/>
        <v>0</v>
      </c>
      <c r="V179">
        <v>430.37</v>
      </c>
      <c r="W179" s="2">
        <f t="shared" si="54"/>
        <v>430.37</v>
      </c>
      <c r="X179" t="s">
        <v>49</v>
      </c>
      <c r="Y179" t="str">
        <f t="shared" si="55"/>
        <v>Card</v>
      </c>
      <c r="Z179" t="s">
        <v>23</v>
      </c>
      <c r="AA179" t="str">
        <f t="shared" si="56"/>
        <v>Completed</v>
      </c>
      <c r="AC179" s="8"/>
      <c r="AD179" t="str">
        <f t="shared" si="61"/>
        <v>2024/12/06</v>
      </c>
      <c r="AE179" t="b">
        <f t="shared" si="62"/>
        <v>0</v>
      </c>
    </row>
    <row r="180" spans="1:31" x14ac:dyDescent="0.35">
      <c r="A180" t="s">
        <v>654</v>
      </c>
      <c r="B180" t="s">
        <v>655</v>
      </c>
      <c r="C180" s="1">
        <f t="shared" si="57"/>
        <v>45557</v>
      </c>
      <c r="D180" t="s">
        <v>86</v>
      </c>
      <c r="E180" t="s">
        <v>656</v>
      </c>
      <c r="F180" t="str">
        <f t="shared" si="58"/>
        <v>Thomas Rodgers</v>
      </c>
      <c r="G180" t="str">
        <f t="shared" si="59"/>
        <v>Thomas</v>
      </c>
      <c r="H180" t="str">
        <f t="shared" si="60"/>
        <v>Rodgers</v>
      </c>
      <c r="I180" t="s">
        <v>17</v>
      </c>
      <c r="J180" t="str">
        <f t="shared" si="48"/>
        <v>West</v>
      </c>
      <c r="K180" t="s">
        <v>34</v>
      </c>
      <c r="L180" t="str">
        <f t="shared" si="49"/>
        <v>Bristol</v>
      </c>
      <c r="M180" t="s">
        <v>28</v>
      </c>
      <c r="N180" t="str">
        <f t="shared" si="50"/>
        <v>Office Supplies</v>
      </c>
      <c r="O180" t="s">
        <v>29</v>
      </c>
      <c r="P180" t="str">
        <f t="shared" si="51"/>
        <v>Paper</v>
      </c>
      <c r="Q180" s="5">
        <v>12</v>
      </c>
      <c r="R180">
        <v>185.29</v>
      </c>
      <c r="S180" s="6">
        <f t="shared" si="52"/>
        <v>185.29</v>
      </c>
      <c r="T180" t="s">
        <v>42</v>
      </c>
      <c r="U180" s="2">
        <f t="shared" si="53"/>
        <v>0.1</v>
      </c>
      <c r="V180">
        <v>694.64</v>
      </c>
      <c r="W180" s="2">
        <f t="shared" si="54"/>
        <v>694.64</v>
      </c>
      <c r="X180" t="s">
        <v>49</v>
      </c>
      <c r="Y180" t="str">
        <f t="shared" si="55"/>
        <v>Card</v>
      </c>
      <c r="Z180" t="s">
        <v>23</v>
      </c>
      <c r="AA180" t="str">
        <f t="shared" si="56"/>
        <v>Completed</v>
      </c>
      <c r="AC180" s="8"/>
      <c r="AD180" t="str">
        <f t="shared" si="61"/>
        <v>2024/09/22</v>
      </c>
      <c r="AE180" t="b">
        <f t="shared" si="62"/>
        <v>0</v>
      </c>
    </row>
    <row r="181" spans="1:31" x14ac:dyDescent="0.35">
      <c r="A181" t="s">
        <v>657</v>
      </c>
      <c r="B181" t="s">
        <v>658</v>
      </c>
      <c r="C181" s="1">
        <f t="shared" si="57"/>
        <v>45743</v>
      </c>
      <c r="D181" t="s">
        <v>659</v>
      </c>
      <c r="E181" t="s">
        <v>660</v>
      </c>
      <c r="F181" t="str">
        <f t="shared" si="58"/>
        <v>Marvin Holland</v>
      </c>
      <c r="G181" t="str">
        <f t="shared" si="59"/>
        <v>Marvin</v>
      </c>
      <c r="H181" t="str">
        <f t="shared" si="60"/>
        <v>Holland</v>
      </c>
      <c r="I181" t="s">
        <v>47</v>
      </c>
      <c r="J181" t="str">
        <f t="shared" si="48"/>
        <v>East</v>
      </c>
      <c r="K181" t="s">
        <v>62</v>
      </c>
      <c r="L181" t="str">
        <f t="shared" si="49"/>
        <v>Leeds</v>
      </c>
      <c r="M181" t="s">
        <v>48</v>
      </c>
      <c r="N181" t="str">
        <f t="shared" si="50"/>
        <v>Technology</v>
      </c>
      <c r="O181" t="s">
        <v>158</v>
      </c>
      <c r="P181" t="str">
        <f t="shared" si="51"/>
        <v>Keyboard</v>
      </c>
      <c r="Q181" s="5">
        <v>7</v>
      </c>
      <c r="R181">
        <v>1130.97</v>
      </c>
      <c r="S181" s="6">
        <f t="shared" si="52"/>
        <v>1130.97</v>
      </c>
      <c r="T181">
        <v>0.05</v>
      </c>
      <c r="U181" s="2">
        <f t="shared" si="53"/>
        <v>0.05</v>
      </c>
      <c r="V181">
        <v>992.95</v>
      </c>
      <c r="W181" s="2">
        <f t="shared" si="54"/>
        <v>992.95</v>
      </c>
      <c r="X181" t="s">
        <v>22</v>
      </c>
      <c r="Y181" t="str">
        <f t="shared" si="55"/>
        <v>Cash</v>
      </c>
      <c r="Z181" t="s">
        <v>56</v>
      </c>
      <c r="AA181" t="str">
        <f t="shared" si="56"/>
        <v>Cancelled</v>
      </c>
      <c r="AC181" s="8"/>
      <c r="AD181" t="str">
        <f t="shared" si="61"/>
        <v>27/03/2025</v>
      </c>
      <c r="AE181" t="b">
        <f t="shared" si="62"/>
        <v>0</v>
      </c>
    </row>
    <row r="182" spans="1:31" x14ac:dyDescent="0.35">
      <c r="A182" t="s">
        <v>661</v>
      </c>
      <c r="B182" t="s">
        <v>662</v>
      </c>
      <c r="C182" s="1">
        <f t="shared" si="57"/>
        <v>45613</v>
      </c>
      <c r="D182" t="s">
        <v>204</v>
      </c>
      <c r="E182" t="s">
        <v>663</v>
      </c>
      <c r="F182" t="str">
        <f t="shared" si="58"/>
        <v>Zachary Potter</v>
      </c>
      <c r="G182" t="str">
        <f t="shared" si="59"/>
        <v>Zachary</v>
      </c>
      <c r="H182" t="str">
        <f t="shared" si="60"/>
        <v>Potter</v>
      </c>
      <c r="I182" t="s">
        <v>144</v>
      </c>
      <c r="J182" t="str">
        <f t="shared" si="48"/>
        <v>Midlands</v>
      </c>
      <c r="K182" t="s">
        <v>94</v>
      </c>
      <c r="L182" t="str">
        <f t="shared" si="49"/>
        <v>Birmingham</v>
      </c>
      <c r="M182" t="s">
        <v>48</v>
      </c>
      <c r="N182" t="str">
        <f t="shared" si="50"/>
        <v>Technology</v>
      </c>
      <c r="O182" t="s">
        <v>135</v>
      </c>
      <c r="P182" t="str">
        <f t="shared" si="51"/>
        <v>Monitor</v>
      </c>
      <c r="Q182" s="5">
        <v>10</v>
      </c>
      <c r="R182">
        <v>1290.6400000000001</v>
      </c>
      <c r="S182" s="6">
        <f t="shared" si="52"/>
        <v>1290.6400000000001</v>
      </c>
      <c r="T182">
        <v>0</v>
      </c>
      <c r="U182" s="2">
        <f t="shared" si="53"/>
        <v>0</v>
      </c>
      <c r="V182">
        <v>102.26</v>
      </c>
      <c r="W182" s="2">
        <f t="shared" si="54"/>
        <v>102.26</v>
      </c>
      <c r="X182" t="s">
        <v>35</v>
      </c>
      <c r="Y182" t="str">
        <f t="shared" si="55"/>
        <v>Bank Transfer</v>
      </c>
      <c r="Z182" t="s">
        <v>23</v>
      </c>
      <c r="AA182" t="str">
        <f t="shared" si="56"/>
        <v>Completed</v>
      </c>
      <c r="AC182" s="8"/>
      <c r="AD182" t="str">
        <f t="shared" si="61"/>
        <v>11/17/2024</v>
      </c>
      <c r="AE182" t="b">
        <f t="shared" si="62"/>
        <v>1</v>
      </c>
    </row>
    <row r="183" spans="1:31" x14ac:dyDescent="0.35">
      <c r="A183" t="s">
        <v>664</v>
      </c>
      <c r="B183" t="s">
        <v>665</v>
      </c>
      <c r="C183" s="1">
        <f t="shared" si="57"/>
        <v>45622</v>
      </c>
      <c r="D183" t="s">
        <v>142</v>
      </c>
      <c r="E183" t="s">
        <v>666</v>
      </c>
      <c r="F183" t="str">
        <f t="shared" si="58"/>
        <v>Mary Pineda</v>
      </c>
      <c r="G183" t="str">
        <f t="shared" si="59"/>
        <v>Mary</v>
      </c>
      <c r="H183" t="str">
        <f t="shared" si="60"/>
        <v>Pineda</v>
      </c>
      <c r="I183" t="s">
        <v>83</v>
      </c>
      <c r="J183" t="str">
        <f t="shared" si="48"/>
        <v>South</v>
      </c>
      <c r="K183" t="s">
        <v>62</v>
      </c>
      <c r="L183" t="str">
        <f t="shared" si="49"/>
        <v>Leeds</v>
      </c>
      <c r="M183" t="s">
        <v>112</v>
      </c>
      <c r="N183" t="str">
        <f t="shared" si="50"/>
        <v>Technology</v>
      </c>
      <c r="O183" t="s">
        <v>158</v>
      </c>
      <c r="P183" t="str">
        <f t="shared" si="51"/>
        <v>Keyboard</v>
      </c>
      <c r="Q183" s="5">
        <v>9</v>
      </c>
      <c r="R183">
        <v>1083.1600000000001</v>
      </c>
      <c r="S183" s="6">
        <f t="shared" si="52"/>
        <v>1083.1600000000001</v>
      </c>
      <c r="T183">
        <v>0</v>
      </c>
      <c r="U183" s="2">
        <f t="shared" si="53"/>
        <v>0</v>
      </c>
      <c r="V183">
        <v>941.4</v>
      </c>
      <c r="W183" s="2">
        <f t="shared" si="54"/>
        <v>941.4</v>
      </c>
      <c r="X183" t="s">
        <v>22</v>
      </c>
      <c r="Y183" t="str">
        <f t="shared" si="55"/>
        <v>Cash</v>
      </c>
      <c r="Z183" t="s">
        <v>56</v>
      </c>
      <c r="AA183" t="str">
        <f t="shared" si="56"/>
        <v>Cancelled</v>
      </c>
      <c r="AC183" s="8"/>
      <c r="AD183" t="str">
        <f t="shared" si="61"/>
        <v>26/11/2024</v>
      </c>
      <c r="AE183" t="b">
        <f t="shared" si="62"/>
        <v>0</v>
      </c>
    </row>
    <row r="184" spans="1:31" x14ac:dyDescent="0.35">
      <c r="A184" t="s">
        <v>667</v>
      </c>
      <c r="B184" t="s">
        <v>668</v>
      </c>
      <c r="C184" s="1">
        <f t="shared" si="57"/>
        <v>45779</v>
      </c>
      <c r="D184" t="s">
        <v>353</v>
      </c>
      <c r="E184" t="s">
        <v>669</v>
      </c>
      <c r="F184" t="str">
        <f t="shared" si="58"/>
        <v>David Ross</v>
      </c>
      <c r="G184" t="str">
        <f t="shared" si="59"/>
        <v>David</v>
      </c>
      <c r="H184" t="str">
        <f t="shared" si="60"/>
        <v>Ross</v>
      </c>
      <c r="I184" t="s">
        <v>40</v>
      </c>
      <c r="J184" t="str">
        <f t="shared" si="48"/>
        <v>North</v>
      </c>
      <c r="K184" t="s">
        <v>94</v>
      </c>
      <c r="L184" t="str">
        <f t="shared" si="49"/>
        <v>Birmingham</v>
      </c>
      <c r="M184" t="s">
        <v>48</v>
      </c>
      <c r="N184" t="str">
        <f t="shared" si="50"/>
        <v>Technology</v>
      </c>
      <c r="O184" t="s">
        <v>20</v>
      </c>
      <c r="P184" t="str">
        <f t="shared" si="51"/>
        <v>Laptop</v>
      </c>
      <c r="Q184" s="5">
        <v>8</v>
      </c>
      <c r="R184">
        <v>365.42</v>
      </c>
      <c r="S184" s="6">
        <f t="shared" si="52"/>
        <v>365.42</v>
      </c>
      <c r="T184">
        <v>0</v>
      </c>
      <c r="U184" s="2">
        <f t="shared" si="53"/>
        <v>0</v>
      </c>
      <c r="V184">
        <v>72.87</v>
      </c>
      <c r="W184" s="2">
        <f t="shared" si="54"/>
        <v>72.87</v>
      </c>
      <c r="X184" t="s">
        <v>69</v>
      </c>
      <c r="Y184" t="str">
        <f t="shared" si="55"/>
        <v>Paypal</v>
      </c>
      <c r="Z184" t="s">
        <v>23</v>
      </c>
      <c r="AA184" t="str">
        <f t="shared" si="56"/>
        <v>Completed</v>
      </c>
      <c r="AC184" s="8"/>
      <c r="AD184" t="str">
        <f t="shared" si="61"/>
        <v>02/05/2025</v>
      </c>
      <c r="AE184" t="b">
        <f t="shared" si="62"/>
        <v>0</v>
      </c>
    </row>
    <row r="185" spans="1:31" x14ac:dyDescent="0.35">
      <c r="A185" t="s">
        <v>670</v>
      </c>
      <c r="B185" t="s">
        <v>671</v>
      </c>
      <c r="C185" s="1">
        <f t="shared" si="57"/>
        <v>45380</v>
      </c>
      <c r="D185" t="s">
        <v>196</v>
      </c>
      <c r="E185" t="s">
        <v>672</v>
      </c>
      <c r="F185" t="str">
        <f t="shared" si="58"/>
        <v>Thomas Kelly</v>
      </c>
      <c r="G185" t="str">
        <f t="shared" si="59"/>
        <v>Thomas</v>
      </c>
      <c r="H185" t="str">
        <f t="shared" si="60"/>
        <v>Kelly</v>
      </c>
      <c r="I185" t="s">
        <v>61</v>
      </c>
      <c r="J185" t="str">
        <f t="shared" si="48"/>
        <v>East</v>
      </c>
      <c r="K185" t="s">
        <v>94</v>
      </c>
      <c r="L185" t="str">
        <f t="shared" si="49"/>
        <v>Birmingham</v>
      </c>
      <c r="M185" t="s">
        <v>28</v>
      </c>
      <c r="N185" t="str">
        <f t="shared" si="50"/>
        <v>Office Supplies</v>
      </c>
      <c r="O185" t="s">
        <v>153</v>
      </c>
      <c r="P185" t="str">
        <f t="shared" si="51"/>
        <v>Stapler</v>
      </c>
      <c r="Q185" s="5">
        <v>13</v>
      </c>
      <c r="S185" s="6">
        <f t="shared" si="52"/>
        <v>0</v>
      </c>
      <c r="T185">
        <v>0</v>
      </c>
      <c r="U185" s="2">
        <f t="shared" si="53"/>
        <v>0</v>
      </c>
      <c r="V185">
        <v>217.31</v>
      </c>
      <c r="W185" s="2">
        <f t="shared" si="54"/>
        <v>217.31</v>
      </c>
      <c r="X185" t="s">
        <v>69</v>
      </c>
      <c r="Y185" t="str">
        <f t="shared" si="55"/>
        <v>Paypal</v>
      </c>
      <c r="Z185" t="s">
        <v>23</v>
      </c>
      <c r="AA185" t="str">
        <f t="shared" si="56"/>
        <v>Completed</v>
      </c>
      <c r="AC185" s="8"/>
      <c r="AD185" t="str">
        <f t="shared" si="61"/>
        <v>03/29/2024</v>
      </c>
      <c r="AE185" t="b">
        <f t="shared" si="62"/>
        <v>1</v>
      </c>
    </row>
    <row r="186" spans="1:31" x14ac:dyDescent="0.35">
      <c r="A186" t="s">
        <v>673</v>
      </c>
      <c r="B186" t="s">
        <v>674</v>
      </c>
      <c r="C186" s="1">
        <f t="shared" si="57"/>
        <v>45607</v>
      </c>
      <c r="D186" t="s">
        <v>287</v>
      </c>
      <c r="E186" t="s">
        <v>675</v>
      </c>
      <c r="F186" t="str">
        <f t="shared" si="58"/>
        <v>Andrea Diaz</v>
      </c>
      <c r="G186" t="str">
        <f t="shared" si="59"/>
        <v>Andrea</v>
      </c>
      <c r="H186" t="str">
        <f t="shared" si="60"/>
        <v>Diaz</v>
      </c>
      <c r="I186" t="s">
        <v>17</v>
      </c>
      <c r="J186" t="str">
        <f t="shared" si="48"/>
        <v>West</v>
      </c>
      <c r="K186" t="s">
        <v>41</v>
      </c>
      <c r="L186" t="str">
        <f t="shared" si="49"/>
        <v>Manchester</v>
      </c>
      <c r="M186" t="s">
        <v>28</v>
      </c>
      <c r="N186" t="str">
        <f t="shared" si="50"/>
        <v>Office Supplies</v>
      </c>
      <c r="O186" t="s">
        <v>153</v>
      </c>
      <c r="P186" t="str">
        <f t="shared" si="51"/>
        <v>Stapler</v>
      </c>
      <c r="Q186" s="5">
        <v>2</v>
      </c>
      <c r="R186">
        <v>769.4</v>
      </c>
      <c r="S186" s="6">
        <f t="shared" si="52"/>
        <v>769.4</v>
      </c>
      <c r="T186" t="s">
        <v>21</v>
      </c>
      <c r="U186" s="2">
        <f t="shared" si="53"/>
        <v>0.05</v>
      </c>
      <c r="V186">
        <v>808.44</v>
      </c>
      <c r="W186" s="2">
        <f t="shared" si="54"/>
        <v>808.44</v>
      </c>
      <c r="X186" t="s">
        <v>69</v>
      </c>
      <c r="Y186" t="str">
        <f t="shared" si="55"/>
        <v>Paypal</v>
      </c>
      <c r="Z186" t="s">
        <v>23</v>
      </c>
      <c r="AA186" t="str">
        <f t="shared" si="56"/>
        <v>Completed</v>
      </c>
      <c r="AC186" s="8"/>
      <c r="AD186" t="str">
        <f t="shared" si="61"/>
        <v>11/11/2024</v>
      </c>
      <c r="AE186" t="b">
        <f t="shared" si="62"/>
        <v>0</v>
      </c>
    </row>
    <row r="187" spans="1:31" x14ac:dyDescent="0.35">
      <c r="A187" t="s">
        <v>676</v>
      </c>
      <c r="B187" t="s">
        <v>504</v>
      </c>
      <c r="C187" s="1">
        <f t="shared" si="57"/>
        <v>45336</v>
      </c>
      <c r="D187" t="s">
        <v>314</v>
      </c>
      <c r="E187" t="s">
        <v>677</v>
      </c>
      <c r="F187" t="str">
        <f t="shared" si="58"/>
        <v>Robert Wilson</v>
      </c>
      <c r="G187" t="str">
        <f t="shared" si="59"/>
        <v>Robert</v>
      </c>
      <c r="H187" t="str">
        <f t="shared" si="60"/>
        <v>Wilson</v>
      </c>
      <c r="I187" t="s">
        <v>47</v>
      </c>
      <c r="J187" t="str">
        <f t="shared" si="48"/>
        <v>East</v>
      </c>
      <c r="K187" t="s">
        <v>18</v>
      </c>
      <c r="L187" t="str">
        <f t="shared" si="49"/>
        <v>London</v>
      </c>
      <c r="M187" t="s">
        <v>19</v>
      </c>
      <c r="N187" t="str">
        <f t="shared" si="50"/>
        <v>Technology</v>
      </c>
      <c r="O187" t="s">
        <v>135</v>
      </c>
      <c r="P187" t="str">
        <f t="shared" si="51"/>
        <v>Monitor</v>
      </c>
      <c r="Q187" s="5">
        <v>10</v>
      </c>
      <c r="R187">
        <v>467.39</v>
      </c>
      <c r="S187" s="6">
        <f t="shared" si="52"/>
        <v>467.39</v>
      </c>
      <c r="T187">
        <v>0</v>
      </c>
      <c r="U187" s="2">
        <f t="shared" si="53"/>
        <v>0</v>
      </c>
      <c r="V187">
        <v>741.18</v>
      </c>
      <c r="W187" s="2">
        <f t="shared" si="54"/>
        <v>741.18</v>
      </c>
      <c r="X187" t="s">
        <v>69</v>
      </c>
      <c r="Y187" t="str">
        <f t="shared" si="55"/>
        <v>Paypal</v>
      </c>
      <c r="Z187" t="s">
        <v>23</v>
      </c>
      <c r="AA187" t="str">
        <f t="shared" si="56"/>
        <v>Completed</v>
      </c>
      <c r="AC187" s="8"/>
      <c r="AD187" t="str">
        <f t="shared" si="61"/>
        <v>2024/02/14</v>
      </c>
      <c r="AE187" t="b">
        <f t="shared" si="62"/>
        <v>0</v>
      </c>
    </row>
    <row r="188" spans="1:31" x14ac:dyDescent="0.35">
      <c r="A188" t="s">
        <v>678</v>
      </c>
      <c r="B188" t="s">
        <v>679</v>
      </c>
      <c r="C188" s="1">
        <f t="shared" si="57"/>
        <v>45692</v>
      </c>
      <c r="D188" t="s">
        <v>680</v>
      </c>
      <c r="E188" t="s">
        <v>681</v>
      </c>
      <c r="F188" t="str">
        <f t="shared" si="58"/>
        <v>Sarah Wade</v>
      </c>
      <c r="G188" t="str">
        <f t="shared" si="59"/>
        <v>Sarah</v>
      </c>
      <c r="H188" t="str">
        <f t="shared" si="60"/>
        <v>Wade</v>
      </c>
      <c r="I188" t="s">
        <v>18</v>
      </c>
      <c r="J188" t="str">
        <f t="shared" si="48"/>
        <v>London</v>
      </c>
      <c r="K188" t="s">
        <v>62</v>
      </c>
      <c r="L188" t="str">
        <f t="shared" si="49"/>
        <v>Leeds</v>
      </c>
      <c r="M188" t="s">
        <v>28</v>
      </c>
      <c r="N188" t="str">
        <f t="shared" si="50"/>
        <v>Office Supplies</v>
      </c>
      <c r="O188" t="s">
        <v>153</v>
      </c>
      <c r="P188" t="str">
        <f t="shared" si="51"/>
        <v>Stapler</v>
      </c>
      <c r="Q188" s="5">
        <v>6</v>
      </c>
      <c r="R188">
        <v>1172.78</v>
      </c>
      <c r="S188" s="6">
        <f t="shared" si="52"/>
        <v>1172.78</v>
      </c>
      <c r="T188">
        <v>0</v>
      </c>
      <c r="U188" s="2">
        <f t="shared" si="53"/>
        <v>0</v>
      </c>
      <c r="V188">
        <v>886.64</v>
      </c>
      <c r="W188" s="2">
        <f t="shared" si="54"/>
        <v>886.64</v>
      </c>
      <c r="X188" t="s">
        <v>49</v>
      </c>
      <c r="Y188" t="str">
        <f t="shared" si="55"/>
        <v>Card</v>
      </c>
      <c r="Z188" t="s">
        <v>23</v>
      </c>
      <c r="AA188" t="str">
        <f t="shared" si="56"/>
        <v>Completed</v>
      </c>
      <c r="AC188" s="8"/>
      <c r="AD188" t="str">
        <f t="shared" si="61"/>
        <v>2025/02/04</v>
      </c>
      <c r="AE188" t="b">
        <f t="shared" si="62"/>
        <v>0</v>
      </c>
    </row>
    <row r="189" spans="1:31" x14ac:dyDescent="0.35">
      <c r="A189" t="s">
        <v>682</v>
      </c>
      <c r="B189" t="s">
        <v>683</v>
      </c>
      <c r="C189" s="1">
        <f t="shared" si="57"/>
        <v>45537</v>
      </c>
      <c r="D189" t="s">
        <v>684</v>
      </c>
      <c r="E189" t="s">
        <v>685</v>
      </c>
      <c r="F189" t="str">
        <f t="shared" si="58"/>
        <v>David Frederick</v>
      </c>
      <c r="G189" t="str">
        <f t="shared" si="59"/>
        <v>David</v>
      </c>
      <c r="H189" t="str">
        <f t="shared" si="60"/>
        <v>Frederick</v>
      </c>
      <c r="I189" t="s">
        <v>17</v>
      </c>
      <c r="J189" t="str">
        <f t="shared" si="48"/>
        <v>West</v>
      </c>
      <c r="K189" t="s">
        <v>18</v>
      </c>
      <c r="L189" t="str">
        <f t="shared" si="49"/>
        <v>London</v>
      </c>
      <c r="M189" t="s">
        <v>28</v>
      </c>
      <c r="N189" t="str">
        <f t="shared" si="50"/>
        <v>Office Supplies</v>
      </c>
      <c r="O189" t="s">
        <v>153</v>
      </c>
      <c r="P189" t="str">
        <f t="shared" si="51"/>
        <v>Stapler</v>
      </c>
      <c r="Q189" s="5">
        <v>1</v>
      </c>
      <c r="R189">
        <v>852.49</v>
      </c>
      <c r="S189" s="6">
        <f t="shared" si="52"/>
        <v>852.49</v>
      </c>
      <c r="T189">
        <v>0</v>
      </c>
      <c r="U189" s="2">
        <f t="shared" si="53"/>
        <v>0</v>
      </c>
      <c r="V189">
        <v>256.61</v>
      </c>
      <c r="W189" s="2">
        <f t="shared" si="54"/>
        <v>256.61</v>
      </c>
      <c r="X189" t="s">
        <v>49</v>
      </c>
      <c r="Y189" t="str">
        <f t="shared" si="55"/>
        <v>Card</v>
      </c>
      <c r="Z189" t="s">
        <v>23</v>
      </c>
      <c r="AA189" t="str">
        <f t="shared" si="56"/>
        <v>Completed</v>
      </c>
      <c r="AC189" s="8"/>
      <c r="AD189" t="str">
        <f t="shared" si="61"/>
        <v>02/09/2024</v>
      </c>
      <c r="AE189" t="b">
        <f t="shared" si="62"/>
        <v>0</v>
      </c>
    </row>
    <row r="190" spans="1:31" x14ac:dyDescent="0.35">
      <c r="A190" t="s">
        <v>686</v>
      </c>
      <c r="B190" t="s">
        <v>687</v>
      </c>
      <c r="C190" s="1">
        <f t="shared" si="57"/>
        <v>45315</v>
      </c>
      <c r="D190" t="s">
        <v>138</v>
      </c>
      <c r="E190" t="s">
        <v>688</v>
      </c>
      <c r="F190" t="str">
        <f t="shared" si="58"/>
        <v>Margaret Bradley</v>
      </c>
      <c r="G190" t="str">
        <f t="shared" si="59"/>
        <v>Margaret</v>
      </c>
      <c r="H190" t="str">
        <f t="shared" si="60"/>
        <v>Bradley</v>
      </c>
      <c r="I190" t="s">
        <v>83</v>
      </c>
      <c r="J190" t="str">
        <f t="shared" si="48"/>
        <v>South</v>
      </c>
      <c r="K190" t="s">
        <v>41</v>
      </c>
      <c r="L190" t="str">
        <f t="shared" si="49"/>
        <v>Manchester</v>
      </c>
      <c r="M190" t="s">
        <v>19</v>
      </c>
      <c r="N190" t="str">
        <f t="shared" si="50"/>
        <v>Technology</v>
      </c>
      <c r="O190" t="s">
        <v>135</v>
      </c>
      <c r="P190" t="str">
        <f t="shared" si="51"/>
        <v>Monitor</v>
      </c>
      <c r="Q190" s="5">
        <v>3</v>
      </c>
      <c r="S190" s="6">
        <f t="shared" si="52"/>
        <v>0</v>
      </c>
      <c r="T190">
        <v>0.2</v>
      </c>
      <c r="U190" s="2">
        <f t="shared" si="53"/>
        <v>0.2</v>
      </c>
      <c r="V190">
        <v>803.51</v>
      </c>
      <c r="W190" s="2">
        <f t="shared" si="54"/>
        <v>803.51</v>
      </c>
      <c r="X190" t="s">
        <v>22</v>
      </c>
      <c r="Y190" t="str">
        <f t="shared" si="55"/>
        <v>Cash</v>
      </c>
      <c r="Z190" t="s">
        <v>56</v>
      </c>
      <c r="AA190" t="str">
        <f t="shared" si="56"/>
        <v>Cancelled</v>
      </c>
      <c r="AC190" s="8"/>
      <c r="AD190" t="str">
        <f t="shared" si="61"/>
        <v>2024/01/24</v>
      </c>
      <c r="AE190" t="b">
        <f t="shared" si="62"/>
        <v>0</v>
      </c>
    </row>
    <row r="191" spans="1:31" x14ac:dyDescent="0.35">
      <c r="A191" t="s">
        <v>689</v>
      </c>
      <c r="B191" t="s">
        <v>690</v>
      </c>
      <c r="C191" s="1">
        <f t="shared" si="57"/>
        <v>45714</v>
      </c>
      <c r="D191" t="s">
        <v>298</v>
      </c>
      <c r="E191" t="s">
        <v>691</v>
      </c>
      <c r="F191" t="str">
        <f t="shared" si="58"/>
        <v>Kathy Morris</v>
      </c>
      <c r="G191" t="str">
        <f t="shared" si="59"/>
        <v>Kathy</v>
      </c>
      <c r="H191" t="str">
        <f t="shared" si="60"/>
        <v>Morris</v>
      </c>
      <c r="I191" t="s">
        <v>17</v>
      </c>
      <c r="J191" t="str">
        <f t="shared" si="48"/>
        <v>West</v>
      </c>
      <c r="K191" t="s">
        <v>94</v>
      </c>
      <c r="L191" t="str">
        <f t="shared" si="49"/>
        <v>Birmingham</v>
      </c>
      <c r="M191" t="s">
        <v>48</v>
      </c>
      <c r="N191" t="str">
        <f t="shared" si="50"/>
        <v>Technology</v>
      </c>
      <c r="O191" t="s">
        <v>158</v>
      </c>
      <c r="P191" t="str">
        <f t="shared" si="51"/>
        <v>Keyboard</v>
      </c>
      <c r="Q191" s="5">
        <v>6</v>
      </c>
      <c r="R191">
        <v>1011.62</v>
      </c>
      <c r="S191" s="6">
        <f t="shared" si="52"/>
        <v>1011.62</v>
      </c>
      <c r="T191" t="s">
        <v>21</v>
      </c>
      <c r="U191" s="2">
        <f t="shared" si="53"/>
        <v>0.05</v>
      </c>
      <c r="V191">
        <v>224.74</v>
      </c>
      <c r="W191" s="2">
        <f t="shared" si="54"/>
        <v>224.74</v>
      </c>
      <c r="X191" t="s">
        <v>35</v>
      </c>
      <c r="Y191" t="str">
        <f t="shared" si="55"/>
        <v>Bank Transfer</v>
      </c>
      <c r="Z191" t="s">
        <v>23</v>
      </c>
      <c r="AA191" t="str">
        <f t="shared" si="56"/>
        <v>Completed</v>
      </c>
      <c r="AC191" s="8"/>
      <c r="AD191" t="str">
        <f t="shared" si="61"/>
        <v>26/02/2025</v>
      </c>
      <c r="AE191" t="b">
        <f t="shared" si="62"/>
        <v>0</v>
      </c>
    </row>
    <row r="192" spans="1:31" x14ac:dyDescent="0.35">
      <c r="A192" t="s">
        <v>692</v>
      </c>
      <c r="B192" t="s">
        <v>693</v>
      </c>
      <c r="C192" s="1">
        <f t="shared" si="57"/>
        <v>45575</v>
      </c>
      <c r="D192" t="s">
        <v>263</v>
      </c>
      <c r="E192" t="s">
        <v>694</v>
      </c>
      <c r="F192" t="str">
        <f t="shared" si="58"/>
        <v>Anthony Wood</v>
      </c>
      <c r="G192" t="str">
        <f t="shared" si="59"/>
        <v>Anthony</v>
      </c>
      <c r="H192" t="str">
        <f t="shared" si="60"/>
        <v>Wood</v>
      </c>
      <c r="I192" t="s">
        <v>83</v>
      </c>
      <c r="J192" t="str">
        <f t="shared" si="48"/>
        <v>South</v>
      </c>
      <c r="K192" t="s">
        <v>34</v>
      </c>
      <c r="L192" t="str">
        <f t="shared" si="49"/>
        <v>Bristol</v>
      </c>
      <c r="M192" t="s">
        <v>48</v>
      </c>
      <c r="N192" t="str">
        <f t="shared" si="50"/>
        <v>Technology</v>
      </c>
      <c r="O192" t="s">
        <v>20</v>
      </c>
      <c r="P192" t="str">
        <f t="shared" si="51"/>
        <v>Laptop</v>
      </c>
      <c r="Q192" s="5">
        <v>5</v>
      </c>
      <c r="R192">
        <v>459.34</v>
      </c>
      <c r="S192" s="6">
        <f t="shared" si="52"/>
        <v>459.34</v>
      </c>
      <c r="T192" t="s">
        <v>21</v>
      </c>
      <c r="U192" s="2">
        <f t="shared" si="53"/>
        <v>0.05</v>
      </c>
      <c r="V192">
        <v>465</v>
      </c>
      <c r="W192" s="2">
        <f t="shared" si="54"/>
        <v>465</v>
      </c>
      <c r="X192" t="s">
        <v>22</v>
      </c>
      <c r="Y192" t="str">
        <f t="shared" si="55"/>
        <v>Cash</v>
      </c>
      <c r="Z192" t="s">
        <v>23</v>
      </c>
      <c r="AA192" t="str">
        <f t="shared" si="56"/>
        <v>Completed</v>
      </c>
      <c r="AC192" s="8"/>
      <c r="AD192" t="str">
        <f t="shared" si="61"/>
        <v>2024/10/10</v>
      </c>
      <c r="AE192" t="b">
        <f t="shared" si="62"/>
        <v>0</v>
      </c>
    </row>
    <row r="193" spans="1:31" x14ac:dyDescent="0.35">
      <c r="A193" t="s">
        <v>695</v>
      </c>
      <c r="B193" t="s">
        <v>696</v>
      </c>
      <c r="C193" s="1">
        <f t="shared" si="57"/>
        <v>45304</v>
      </c>
      <c r="D193" t="s">
        <v>32</v>
      </c>
      <c r="E193" t="s">
        <v>697</v>
      </c>
      <c r="F193" t="str">
        <f t="shared" si="58"/>
        <v>Wendy Lopez</v>
      </c>
      <c r="G193" t="str">
        <f t="shared" si="59"/>
        <v>Wendy</v>
      </c>
      <c r="H193" t="str">
        <f t="shared" si="60"/>
        <v>Lopez</v>
      </c>
      <c r="I193" t="s">
        <v>18</v>
      </c>
      <c r="J193" t="str">
        <f t="shared" si="48"/>
        <v>London</v>
      </c>
      <c r="K193" t="s">
        <v>103</v>
      </c>
      <c r="L193" t="str">
        <f t="shared" si="49"/>
        <v>Norwich</v>
      </c>
      <c r="M193" t="s">
        <v>19</v>
      </c>
      <c r="N193" t="str">
        <f t="shared" si="50"/>
        <v>Technology</v>
      </c>
      <c r="O193" t="s">
        <v>88</v>
      </c>
      <c r="P193" t="str">
        <f t="shared" si="51"/>
        <v>Mouse</v>
      </c>
      <c r="Q193" s="5">
        <v>6</v>
      </c>
      <c r="S193" s="6">
        <f t="shared" si="52"/>
        <v>0</v>
      </c>
      <c r="T193">
        <v>0.2</v>
      </c>
      <c r="U193" s="2">
        <f t="shared" si="53"/>
        <v>0.2</v>
      </c>
      <c r="V193">
        <v>336.35</v>
      </c>
      <c r="W193" s="2">
        <f t="shared" si="54"/>
        <v>336.35</v>
      </c>
      <c r="X193" t="s">
        <v>22</v>
      </c>
      <c r="Y193" t="str">
        <f t="shared" si="55"/>
        <v>Cash</v>
      </c>
      <c r="Z193" t="s">
        <v>23</v>
      </c>
      <c r="AA193" t="str">
        <f t="shared" si="56"/>
        <v>Completed</v>
      </c>
      <c r="AC193" s="8"/>
      <c r="AD193" t="str">
        <f t="shared" si="61"/>
        <v>13/01/2024</v>
      </c>
      <c r="AE193" t="b">
        <f t="shared" si="62"/>
        <v>0</v>
      </c>
    </row>
    <row r="194" spans="1:31" x14ac:dyDescent="0.35">
      <c r="A194" t="s">
        <v>698</v>
      </c>
      <c r="B194" t="s">
        <v>699</v>
      </c>
      <c r="C194" s="1">
        <f t="shared" ref="C194:C201" si="63" xml:space="preserve"> IF( MID(AD194,5,1) = "/", DATE( LEFT(AD194,4), MID(AD194,6,2), RIGHT(AD194,2)),  IF(VALUE(MID(AD194,FIND("/",AD194)+1,2)) &gt; 12, DATE(RIGHT(AD194,4), LEFT(AD194,2),MID(AD194,4,2) ),DATE( RIGHT(AD194,4), MID(AD194,4,2), LEFT(AD194,2))) )</f>
        <v>45784</v>
      </c>
      <c r="D194" t="s">
        <v>242</v>
      </c>
      <c r="E194" t="s">
        <v>700</v>
      </c>
      <c r="F194" t="str">
        <f t="shared" ref="F194:F201" si="64">TRIM(SUBSTITUTE(SUBSTITUTE(SUBSTITUTE(SUBSTITUTE(SUBSTITUTE(SUBSTITUTE(SUBSTITUTE(SUBSTITUTE(E194,"Dr. ","")," MD","")," PhD","")," DDS","")," DVM",""),"Mr. ",""),"Miss ",""),"Md",""))</f>
        <v>Edward Clarke</v>
      </c>
      <c r="G194" t="str">
        <f t="shared" ref="G194:G201" si="65">TRIM(PROPER(_xlfn.TEXTBEFORE(F194," ",1)))</f>
        <v>Edward</v>
      </c>
      <c r="H194" t="str">
        <f t="shared" ref="H194:H201" si="66">PROPER(TRIM(_xlfn.TEXTAFTER(F194," ",-1)))</f>
        <v>Clarke</v>
      </c>
      <c r="I194" t="s">
        <v>144</v>
      </c>
      <c r="J194" t="str">
        <f t="shared" si="48"/>
        <v>Midlands</v>
      </c>
      <c r="K194" t="s">
        <v>94</v>
      </c>
      <c r="L194" t="str">
        <f t="shared" si="49"/>
        <v>Birmingham</v>
      </c>
      <c r="M194" t="s">
        <v>54</v>
      </c>
      <c r="N194" t="str">
        <f t="shared" si="50"/>
        <v>Furniture</v>
      </c>
      <c r="O194" t="s">
        <v>55</v>
      </c>
      <c r="P194" t="str">
        <f t="shared" si="51"/>
        <v>Chair</v>
      </c>
      <c r="Q194" s="5">
        <v>3</v>
      </c>
      <c r="R194">
        <v>144.07</v>
      </c>
      <c r="S194" s="6">
        <f t="shared" si="52"/>
        <v>144.07</v>
      </c>
      <c r="T194" t="s">
        <v>21</v>
      </c>
      <c r="U194" s="2">
        <f t="shared" si="53"/>
        <v>0.05</v>
      </c>
      <c r="V194">
        <v>897.49</v>
      </c>
      <c r="W194" s="2">
        <f t="shared" si="54"/>
        <v>897.49</v>
      </c>
      <c r="X194" t="s">
        <v>49</v>
      </c>
      <c r="Y194" t="str">
        <f t="shared" si="55"/>
        <v>Card</v>
      </c>
      <c r="Z194" t="s">
        <v>23</v>
      </c>
      <c r="AA194" t="str">
        <f t="shared" si="56"/>
        <v>Completed</v>
      </c>
      <c r="AC194" s="8"/>
      <c r="AD194" t="str">
        <f t="shared" ref="AD194:AD201" si="67">SUBSTITUTE(B194,"-","/")</f>
        <v>07/05/2025</v>
      </c>
      <c r="AE194" t="b">
        <f t="shared" ref="AE194:AE201" si="68">VALUE(MID(AD194,FIND("/",AD194)+1,2)) &gt; 12</f>
        <v>0</v>
      </c>
    </row>
    <row r="195" spans="1:31" x14ac:dyDescent="0.35">
      <c r="A195" t="s">
        <v>701</v>
      </c>
      <c r="B195" t="s">
        <v>702</v>
      </c>
      <c r="C195" s="1">
        <f t="shared" si="63"/>
        <v>45618</v>
      </c>
      <c r="D195" t="s">
        <v>196</v>
      </c>
      <c r="E195" t="s">
        <v>703</v>
      </c>
      <c r="F195" t="str">
        <f t="shared" si="64"/>
        <v>Carol Johnson</v>
      </c>
      <c r="G195" t="str">
        <f t="shared" si="65"/>
        <v>Carol</v>
      </c>
      <c r="H195" t="str">
        <f t="shared" si="66"/>
        <v>Johnson</v>
      </c>
      <c r="I195" t="s">
        <v>144</v>
      </c>
      <c r="J195" t="str">
        <f t="shared" ref="J195:J201" si="69">PROPER(TRIM(I195))</f>
        <v>Midlands</v>
      </c>
      <c r="K195" t="s">
        <v>41</v>
      </c>
      <c r="L195" t="str">
        <f t="shared" ref="L195:L201" si="70">PROPER(TRIM(K195))</f>
        <v>Manchester</v>
      </c>
      <c r="M195" t="s">
        <v>28</v>
      </c>
      <c r="N195" t="str">
        <f t="shared" ref="N195:N201" si="71">IF(PROPER(TRIM(M195)) = "Tech","Technology", PROPER(TRIM(M195)))</f>
        <v>Office Supplies</v>
      </c>
      <c r="O195" t="s">
        <v>29</v>
      </c>
      <c r="P195" t="str">
        <f t="shared" ref="P195:P201" si="72">PROPER(TRIM(O195))</f>
        <v>Paper</v>
      </c>
      <c r="Q195" s="5">
        <v>10</v>
      </c>
      <c r="R195">
        <v>995.35</v>
      </c>
      <c r="S195" s="6">
        <f t="shared" ref="S195:S201" si="73">IF(R195=" ", 0, R195)</f>
        <v>995.35</v>
      </c>
      <c r="T195">
        <v>0.1</v>
      </c>
      <c r="U195" s="2">
        <f t="shared" ref="U195:U201" si="74">VALUE(T195)</f>
        <v>0.1</v>
      </c>
      <c r="V195">
        <v>293.08999999999997</v>
      </c>
      <c r="W195" s="2">
        <f t="shared" ref="W195:W201" si="75">ROUND(VALUE(V195),2)</f>
        <v>293.08999999999997</v>
      </c>
      <c r="X195" t="s">
        <v>69</v>
      </c>
      <c r="Y195" t="str">
        <f t="shared" ref="Y195:Y201" si="76">PROPER(TRIM(X195))</f>
        <v>Paypal</v>
      </c>
      <c r="Z195" t="s">
        <v>23</v>
      </c>
      <c r="AA195" t="str">
        <f t="shared" ref="AA195:AA201" si="77">PROPER(TRIM(Z195))</f>
        <v>Completed</v>
      </c>
      <c r="AC195" s="8"/>
      <c r="AD195" t="str">
        <f t="shared" si="67"/>
        <v>2024/11/22</v>
      </c>
      <c r="AE195" t="b">
        <f t="shared" si="68"/>
        <v>0</v>
      </c>
    </row>
    <row r="196" spans="1:31" x14ac:dyDescent="0.35">
      <c r="A196" t="s">
        <v>704</v>
      </c>
      <c r="B196" t="s">
        <v>705</v>
      </c>
      <c r="C196" s="1">
        <f t="shared" si="63"/>
        <v>45775</v>
      </c>
      <c r="D196" t="s">
        <v>242</v>
      </c>
      <c r="E196" t="s">
        <v>706</v>
      </c>
      <c r="F196" t="str">
        <f t="shared" si="64"/>
        <v>Tammy Love</v>
      </c>
      <c r="G196" t="str">
        <f t="shared" si="65"/>
        <v>Tammy</v>
      </c>
      <c r="H196" t="str">
        <f t="shared" si="66"/>
        <v>Love</v>
      </c>
      <c r="I196" t="s">
        <v>144</v>
      </c>
      <c r="J196" t="str">
        <f t="shared" si="69"/>
        <v>Midlands</v>
      </c>
      <c r="K196" t="s">
        <v>18</v>
      </c>
      <c r="L196" t="str">
        <f t="shared" si="70"/>
        <v>London</v>
      </c>
      <c r="M196" t="s">
        <v>112</v>
      </c>
      <c r="N196" t="str">
        <f t="shared" si="71"/>
        <v>Technology</v>
      </c>
      <c r="O196" t="s">
        <v>20</v>
      </c>
      <c r="P196" t="str">
        <f t="shared" si="72"/>
        <v>Laptop</v>
      </c>
      <c r="Q196" s="5">
        <v>13</v>
      </c>
      <c r="R196">
        <v>167.91</v>
      </c>
      <c r="S196" s="6">
        <f t="shared" si="73"/>
        <v>167.91</v>
      </c>
      <c r="T196">
        <v>0.1</v>
      </c>
      <c r="U196" s="2">
        <f t="shared" si="74"/>
        <v>0.1</v>
      </c>
      <c r="V196">
        <v>450.67</v>
      </c>
      <c r="W196" s="2">
        <f t="shared" si="75"/>
        <v>450.67</v>
      </c>
      <c r="X196" t="s">
        <v>69</v>
      </c>
      <c r="Y196" t="str">
        <f t="shared" si="76"/>
        <v>Paypal</v>
      </c>
      <c r="Z196" t="s">
        <v>23</v>
      </c>
      <c r="AA196" t="str">
        <f t="shared" si="77"/>
        <v>Completed</v>
      </c>
      <c r="AC196" s="8"/>
      <c r="AD196" t="str">
        <f t="shared" si="67"/>
        <v>28/04/2025</v>
      </c>
      <c r="AE196" t="b">
        <f t="shared" si="68"/>
        <v>0</v>
      </c>
    </row>
    <row r="197" spans="1:31" x14ac:dyDescent="0.35">
      <c r="A197" t="s">
        <v>707</v>
      </c>
      <c r="B197" t="s">
        <v>708</v>
      </c>
      <c r="C197" s="1">
        <f t="shared" si="63"/>
        <v>45728</v>
      </c>
      <c r="D197" t="s">
        <v>287</v>
      </c>
      <c r="E197" t="s">
        <v>709</v>
      </c>
      <c r="F197" t="str">
        <f t="shared" si="64"/>
        <v>Dawn Gordon</v>
      </c>
      <c r="G197" t="str">
        <f t="shared" si="65"/>
        <v>Dawn</v>
      </c>
      <c r="H197" t="str">
        <f t="shared" si="66"/>
        <v>Gordon</v>
      </c>
      <c r="I197" t="s">
        <v>83</v>
      </c>
      <c r="J197" t="str">
        <f t="shared" si="69"/>
        <v>South</v>
      </c>
      <c r="K197" t="s">
        <v>41</v>
      </c>
      <c r="L197" t="str">
        <f t="shared" si="70"/>
        <v>Manchester</v>
      </c>
      <c r="M197" t="s">
        <v>54</v>
      </c>
      <c r="N197" t="str">
        <f t="shared" si="71"/>
        <v>Furniture</v>
      </c>
      <c r="O197" t="s">
        <v>55</v>
      </c>
      <c r="P197" t="str">
        <f t="shared" si="72"/>
        <v>Chair</v>
      </c>
      <c r="Q197" s="5">
        <v>3</v>
      </c>
      <c r="R197">
        <v>459.8</v>
      </c>
      <c r="S197" s="6">
        <f t="shared" si="73"/>
        <v>459.8</v>
      </c>
      <c r="T197">
        <v>0.05</v>
      </c>
      <c r="U197" s="2">
        <f t="shared" si="74"/>
        <v>0.05</v>
      </c>
      <c r="V197">
        <v>604.1</v>
      </c>
      <c r="W197" s="2">
        <f t="shared" si="75"/>
        <v>604.1</v>
      </c>
      <c r="X197" t="s">
        <v>69</v>
      </c>
      <c r="Y197" t="str">
        <f t="shared" si="76"/>
        <v>Paypal</v>
      </c>
      <c r="Z197" t="s">
        <v>23</v>
      </c>
      <c r="AA197" t="str">
        <f t="shared" si="77"/>
        <v>Completed</v>
      </c>
      <c r="AC197" s="8"/>
      <c r="AD197" t="str">
        <f t="shared" si="67"/>
        <v>12/03/2025</v>
      </c>
      <c r="AE197" t="b">
        <f t="shared" si="68"/>
        <v>0</v>
      </c>
    </row>
    <row r="198" spans="1:31" x14ac:dyDescent="0.35">
      <c r="A198" t="s">
        <v>710</v>
      </c>
      <c r="B198" t="s">
        <v>711</v>
      </c>
      <c r="C198" s="1">
        <f t="shared" si="63"/>
        <v>45711</v>
      </c>
      <c r="D198" t="s">
        <v>589</v>
      </c>
      <c r="E198" t="s">
        <v>712</v>
      </c>
      <c r="F198" t="str">
        <f t="shared" si="64"/>
        <v>Gary Miranda</v>
      </c>
      <c r="G198" t="str">
        <f t="shared" si="65"/>
        <v>Gary</v>
      </c>
      <c r="H198" t="str">
        <f t="shared" si="66"/>
        <v>Miranda</v>
      </c>
      <c r="I198" t="s">
        <v>47</v>
      </c>
      <c r="J198" t="str">
        <f t="shared" si="69"/>
        <v>East</v>
      </c>
      <c r="K198" t="s">
        <v>18</v>
      </c>
      <c r="L198" t="str">
        <f t="shared" si="70"/>
        <v>London</v>
      </c>
      <c r="M198" t="s">
        <v>48</v>
      </c>
      <c r="N198" t="str">
        <f t="shared" si="71"/>
        <v>Technology</v>
      </c>
      <c r="O198" t="s">
        <v>158</v>
      </c>
      <c r="P198" t="str">
        <f t="shared" si="72"/>
        <v>Keyboard</v>
      </c>
      <c r="Q198" s="5">
        <v>7</v>
      </c>
      <c r="R198">
        <v>836.15</v>
      </c>
      <c r="S198" s="6">
        <f t="shared" si="73"/>
        <v>836.15</v>
      </c>
      <c r="T198">
        <v>0</v>
      </c>
      <c r="U198" s="2">
        <f t="shared" si="74"/>
        <v>0</v>
      </c>
      <c r="V198">
        <v>96.54</v>
      </c>
      <c r="W198" s="2">
        <f t="shared" si="75"/>
        <v>96.54</v>
      </c>
      <c r="X198" t="s">
        <v>22</v>
      </c>
      <c r="Y198" t="str">
        <f t="shared" si="76"/>
        <v>Cash</v>
      </c>
      <c r="Z198" t="s">
        <v>23</v>
      </c>
      <c r="AA198" t="str">
        <f t="shared" si="77"/>
        <v>Completed</v>
      </c>
      <c r="AC198" s="8"/>
      <c r="AD198" t="str">
        <f t="shared" si="67"/>
        <v>2025/02/23</v>
      </c>
      <c r="AE198" t="b">
        <f t="shared" si="68"/>
        <v>0</v>
      </c>
    </row>
    <row r="199" spans="1:31" x14ac:dyDescent="0.35">
      <c r="A199" t="s">
        <v>713</v>
      </c>
      <c r="B199" t="s">
        <v>714</v>
      </c>
      <c r="C199" s="1">
        <f t="shared" si="63"/>
        <v>45643</v>
      </c>
      <c r="D199" t="s">
        <v>449</v>
      </c>
      <c r="E199" t="s">
        <v>715</v>
      </c>
      <c r="F199" t="str">
        <f t="shared" si="64"/>
        <v>Sean Moss</v>
      </c>
      <c r="G199" t="str">
        <f t="shared" si="65"/>
        <v>Sean</v>
      </c>
      <c r="H199" t="str">
        <f t="shared" si="66"/>
        <v>Moss</v>
      </c>
      <c r="I199" t="s">
        <v>40</v>
      </c>
      <c r="J199" t="str">
        <f t="shared" si="69"/>
        <v>North</v>
      </c>
      <c r="K199" t="s">
        <v>103</v>
      </c>
      <c r="L199" t="str">
        <f t="shared" si="70"/>
        <v>Norwich</v>
      </c>
      <c r="M199" t="s">
        <v>54</v>
      </c>
      <c r="N199" t="str">
        <f t="shared" si="71"/>
        <v>Furniture</v>
      </c>
      <c r="O199" t="s">
        <v>55</v>
      </c>
      <c r="P199" t="str">
        <f t="shared" si="72"/>
        <v>Chair</v>
      </c>
      <c r="Q199" s="5">
        <v>10</v>
      </c>
      <c r="R199">
        <v>1376.56</v>
      </c>
      <c r="S199" s="6">
        <f t="shared" si="73"/>
        <v>1376.56</v>
      </c>
      <c r="T199">
        <v>0.05</v>
      </c>
      <c r="U199" s="2">
        <f t="shared" si="74"/>
        <v>0.05</v>
      </c>
      <c r="V199">
        <v>997.17</v>
      </c>
      <c r="W199" s="2">
        <f t="shared" si="75"/>
        <v>997.17</v>
      </c>
      <c r="X199" t="s">
        <v>35</v>
      </c>
      <c r="Y199" t="str">
        <f t="shared" si="76"/>
        <v>Bank Transfer</v>
      </c>
      <c r="Z199" t="s">
        <v>23</v>
      </c>
      <c r="AA199" t="str">
        <f t="shared" si="77"/>
        <v>Completed</v>
      </c>
      <c r="AC199" s="8"/>
      <c r="AD199" t="str">
        <f t="shared" si="67"/>
        <v>12/17/2024</v>
      </c>
      <c r="AE199" t="b">
        <f t="shared" si="68"/>
        <v>1</v>
      </c>
    </row>
    <row r="200" spans="1:31" x14ac:dyDescent="0.35">
      <c r="A200" t="s">
        <v>716</v>
      </c>
      <c r="B200" t="s">
        <v>188</v>
      </c>
      <c r="C200" s="1">
        <f t="shared" si="63"/>
        <v>45317</v>
      </c>
      <c r="D200" t="s">
        <v>717</v>
      </c>
      <c r="E200" t="s">
        <v>718</v>
      </c>
      <c r="F200" t="str">
        <f t="shared" si="64"/>
        <v>Sara Brewer</v>
      </c>
      <c r="G200" t="str">
        <f t="shared" si="65"/>
        <v>Sara</v>
      </c>
      <c r="H200" t="str">
        <f t="shared" si="66"/>
        <v>Brewer</v>
      </c>
      <c r="I200" t="s">
        <v>40</v>
      </c>
      <c r="J200" t="str">
        <f t="shared" si="69"/>
        <v>North</v>
      </c>
      <c r="K200" t="s">
        <v>41</v>
      </c>
      <c r="L200" t="str">
        <f t="shared" si="70"/>
        <v>Manchester</v>
      </c>
      <c r="M200" t="s">
        <v>19</v>
      </c>
      <c r="N200" t="str">
        <f t="shared" si="71"/>
        <v>Technology</v>
      </c>
      <c r="O200" t="s">
        <v>88</v>
      </c>
      <c r="P200" t="str">
        <f t="shared" si="72"/>
        <v>Mouse</v>
      </c>
      <c r="Q200" s="5">
        <v>10</v>
      </c>
      <c r="R200">
        <v>1088.02</v>
      </c>
      <c r="S200" s="6">
        <f t="shared" si="73"/>
        <v>1088.02</v>
      </c>
      <c r="T200" t="s">
        <v>42</v>
      </c>
      <c r="U200" s="2">
        <f t="shared" si="74"/>
        <v>0.1</v>
      </c>
      <c r="V200">
        <v>383.96</v>
      </c>
      <c r="W200" s="2">
        <f t="shared" si="75"/>
        <v>383.96</v>
      </c>
      <c r="X200" t="s">
        <v>35</v>
      </c>
      <c r="Y200" t="str">
        <f t="shared" si="76"/>
        <v>Bank Transfer</v>
      </c>
      <c r="Z200" t="s">
        <v>56</v>
      </c>
      <c r="AA200" t="str">
        <f t="shared" si="77"/>
        <v>Cancelled</v>
      </c>
      <c r="AC200" s="8"/>
      <c r="AD200" t="str">
        <f t="shared" si="67"/>
        <v>26/01/2024</v>
      </c>
      <c r="AE200" t="b">
        <f t="shared" si="68"/>
        <v>0</v>
      </c>
    </row>
    <row r="201" spans="1:31" x14ac:dyDescent="0.35">
      <c r="A201" t="s">
        <v>719</v>
      </c>
      <c r="B201" t="s">
        <v>720</v>
      </c>
      <c r="C201" s="1">
        <f t="shared" si="63"/>
        <v>45606</v>
      </c>
      <c r="D201" t="s">
        <v>589</v>
      </c>
      <c r="E201" t="s">
        <v>721</v>
      </c>
      <c r="F201" t="str">
        <f t="shared" si="64"/>
        <v>Stephanie White</v>
      </c>
      <c r="G201" t="str">
        <f t="shared" si="65"/>
        <v>Stephanie</v>
      </c>
      <c r="H201" t="str">
        <f t="shared" si="66"/>
        <v>White</v>
      </c>
      <c r="I201" t="s">
        <v>83</v>
      </c>
      <c r="J201" t="str">
        <f t="shared" si="69"/>
        <v>South</v>
      </c>
      <c r="K201" t="s">
        <v>34</v>
      </c>
      <c r="L201" t="str">
        <f t="shared" si="70"/>
        <v>Bristol</v>
      </c>
      <c r="M201" t="s">
        <v>112</v>
      </c>
      <c r="N201" t="str">
        <f t="shared" si="71"/>
        <v>Technology</v>
      </c>
      <c r="O201" t="s">
        <v>20</v>
      </c>
      <c r="P201" t="str">
        <f t="shared" si="72"/>
        <v>Laptop</v>
      </c>
      <c r="Q201" s="5">
        <v>5</v>
      </c>
      <c r="R201">
        <v>1324.75</v>
      </c>
      <c r="S201" s="6">
        <f t="shared" si="73"/>
        <v>1324.75</v>
      </c>
      <c r="T201" t="s">
        <v>42</v>
      </c>
      <c r="U201" s="2">
        <f t="shared" si="74"/>
        <v>0.1</v>
      </c>
      <c r="V201">
        <v>89.55</v>
      </c>
      <c r="W201" s="2">
        <f t="shared" si="75"/>
        <v>89.55</v>
      </c>
      <c r="X201" t="s">
        <v>49</v>
      </c>
      <c r="Y201" t="str">
        <f t="shared" si="76"/>
        <v>Card</v>
      </c>
      <c r="Z201" t="s">
        <v>56</v>
      </c>
      <c r="AA201" t="str">
        <f t="shared" si="77"/>
        <v>Cancelled</v>
      </c>
      <c r="AC201" s="8"/>
      <c r="AD201" t="str">
        <f t="shared" si="67"/>
        <v>2024/11/10</v>
      </c>
      <c r="AE201" t="b">
        <f t="shared" si="68"/>
        <v>0</v>
      </c>
    </row>
  </sheetData>
  <autoFilter ref="A1:AE201" xr:uid="{00000000-0001-0000-0000-000000000000}"/>
  <conditionalFormatting sqref="A1:A201 A212:A1048576">
    <cfRule type="duplicateValues" dxfId="2" priority="2"/>
  </conditionalFormatting>
  <conditionalFormatting sqref="AD2:AE201">
    <cfRule type="expression" dxfId="1" priority="1">
      <formula>VALUE(MID(AD2,FIND("/",AD2)+1,2)) &gt; 12</formula>
    </cfRule>
  </conditionalFormatting>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205D0-CD0D-4840-86E7-E0F66ACA0A24}">
  <dimension ref="A1:AT201"/>
  <sheetViews>
    <sheetView zoomScale="120" zoomScaleNormal="120" workbookViewId="0">
      <pane ySplit="1" topLeftCell="A172" activePane="bottomLeft" state="frozen"/>
      <selection activeCell="G1" sqref="G1"/>
      <selection pane="bottomLeft" activeCell="P181" sqref="P181"/>
    </sheetView>
  </sheetViews>
  <sheetFormatPr defaultColWidth="15.6328125" defaultRowHeight="14.5" x14ac:dyDescent="0.35"/>
  <cols>
    <col min="1" max="1" width="14" customWidth="1"/>
    <col min="2" max="2" width="14.36328125" style="1" customWidth="1"/>
    <col min="3" max="3" width="17.08984375" style="21" customWidth="1"/>
    <col min="4" max="4" width="20.26953125" style="19" customWidth="1"/>
    <col min="5" max="5" width="17.08984375" style="21" customWidth="1"/>
    <col min="6" max="6" width="17.08984375" style="3" customWidth="1"/>
    <col min="7" max="7" width="13" customWidth="1"/>
    <col min="8" max="8" width="18.7265625" customWidth="1"/>
    <col min="9" max="9" width="14.54296875" customWidth="1"/>
    <col min="10" max="10" width="14.08984375" customWidth="1"/>
    <col min="11" max="11" width="12.54296875" customWidth="1"/>
    <col min="12" max="12" width="14.36328125" customWidth="1"/>
    <col min="13" max="13" width="16.26953125" customWidth="1"/>
    <col min="14" max="14" width="14.6328125" customWidth="1"/>
    <col min="15" max="15" width="13.54296875" style="5" customWidth="1"/>
    <col min="16" max="16" width="15.6328125" style="16"/>
    <col min="17" max="17" width="15.6328125" style="2"/>
    <col min="18" max="18" width="15.6328125" style="16"/>
    <col min="23" max="28" width="15.6328125" style="16"/>
    <col min="30" max="30" width="23" style="7" customWidth="1"/>
    <col min="34" max="34" width="15.6328125" style="5"/>
    <col min="36" max="36" width="15.6328125" style="6"/>
    <col min="38" max="38" width="15.6328125" style="2"/>
    <col min="40" max="40" width="15.6328125" style="2"/>
    <col min="46" max="46" width="15.6328125" style="7"/>
  </cols>
  <sheetData>
    <row r="1" spans="1:30" ht="55.5" x14ac:dyDescent="0.45">
      <c r="A1" s="10" t="s">
        <v>0</v>
      </c>
      <c r="B1" s="11" t="s">
        <v>956</v>
      </c>
      <c r="C1" s="20" t="s">
        <v>1063</v>
      </c>
      <c r="D1" s="18" t="s">
        <v>1075</v>
      </c>
      <c r="E1" s="20" t="s">
        <v>1062</v>
      </c>
      <c r="F1" s="17" t="s">
        <v>951</v>
      </c>
      <c r="G1" s="10" t="s">
        <v>2</v>
      </c>
      <c r="H1" s="10" t="s">
        <v>957</v>
      </c>
      <c r="I1" s="10" t="s">
        <v>722</v>
      </c>
      <c r="J1" s="10" t="s">
        <v>723</v>
      </c>
      <c r="K1" s="10" t="s">
        <v>958</v>
      </c>
      <c r="L1" s="10" t="s">
        <v>724</v>
      </c>
      <c r="M1" s="10" t="s">
        <v>725</v>
      </c>
      <c r="N1" s="10" t="s">
        <v>726</v>
      </c>
      <c r="O1" s="12" t="s">
        <v>8</v>
      </c>
      <c r="P1" s="15" t="s">
        <v>959</v>
      </c>
      <c r="Q1" s="14" t="s">
        <v>727</v>
      </c>
      <c r="R1" s="15" t="s">
        <v>960</v>
      </c>
      <c r="S1" s="10" t="s">
        <v>961</v>
      </c>
      <c r="T1" s="10" t="s">
        <v>962</v>
      </c>
      <c r="U1" s="10" t="s">
        <v>1060</v>
      </c>
      <c r="V1" s="10" t="s">
        <v>1061</v>
      </c>
      <c r="W1" s="15" t="s">
        <v>1059</v>
      </c>
      <c r="X1" s="15" t="s">
        <v>952</v>
      </c>
      <c r="Y1" s="15" t="s">
        <v>728</v>
      </c>
      <c r="Z1" s="15" t="s">
        <v>950</v>
      </c>
      <c r="AA1" s="15"/>
      <c r="AB1" s="15"/>
      <c r="AD1" s="10" t="s">
        <v>963</v>
      </c>
    </row>
    <row r="2" spans="1:30" x14ac:dyDescent="0.35">
      <c r="A2" t="s">
        <v>14</v>
      </c>
      <c r="B2" s="1">
        <v>45671</v>
      </c>
      <c r="C2" s="21">
        <f>MONTH(B2)</f>
        <v>1</v>
      </c>
      <c r="D2" s="19">
        <f t="shared" ref="D2:D33" si="0">DATE(YEAR(B2),MONTH(B2),DAY(1))</f>
        <v>45658</v>
      </c>
      <c r="E2" s="21">
        <f>YEAR(B2)</f>
        <v>2025</v>
      </c>
      <c r="F2" s="3">
        <f t="shared" ref="F2:F33" si="1">DATE(YEAR(B2),MONTH(B2),DAY(1))</f>
        <v>45658</v>
      </c>
      <c r="G2" t="s">
        <v>955</v>
      </c>
      <c r="H2" t="s">
        <v>16</v>
      </c>
      <c r="I2" t="s">
        <v>729</v>
      </c>
      <c r="J2" t="s">
        <v>730</v>
      </c>
      <c r="K2" t="s">
        <v>17</v>
      </c>
      <c r="L2" t="s">
        <v>18</v>
      </c>
      <c r="M2" t="s">
        <v>19</v>
      </c>
      <c r="N2" t="s">
        <v>20</v>
      </c>
      <c r="O2" s="5">
        <v>4</v>
      </c>
      <c r="P2" s="16">
        <v>158.22999999999999</v>
      </c>
      <c r="Q2" s="2">
        <v>0.05</v>
      </c>
      <c r="R2" s="16">
        <v>546.28</v>
      </c>
      <c r="S2" t="s">
        <v>22</v>
      </c>
      <c r="T2" t="s">
        <v>23</v>
      </c>
      <c r="U2" t="str">
        <f>IF(O2&lt;0,"Return","Sale")</f>
        <v>Sale</v>
      </c>
      <c r="V2" t="str">
        <f>IF(AND(T2="Cancelled",U2="Sale"),"Check","OK")</f>
        <v>OK</v>
      </c>
      <c r="W2" s="16">
        <f>(P2 * O2) * (1 - Q2)</f>
        <v>601.27399999999989</v>
      </c>
      <c r="X2" s="16">
        <f>R2*O2</f>
        <v>2185.12</v>
      </c>
      <c r="Y2" s="16">
        <f t="shared" ref="Y2:Y33" si="2">W2-X2</f>
        <v>-1583.846</v>
      </c>
      <c r="Z2" s="16">
        <f>IFERROR(Y2/W2, " ")</f>
        <v>-2.6341501545052677</v>
      </c>
      <c r="AD2" s="8"/>
    </row>
    <row r="3" spans="1:30" x14ac:dyDescent="0.35">
      <c r="A3" t="s">
        <v>24</v>
      </c>
      <c r="B3" s="1">
        <v>45658</v>
      </c>
      <c r="C3" s="21">
        <f t="shared" ref="C3:C66" si="3">MONTH(B3)</f>
        <v>1</v>
      </c>
      <c r="D3" s="19">
        <f t="shared" si="0"/>
        <v>45658</v>
      </c>
      <c r="E3" s="21">
        <f t="shared" ref="E3:E66" si="4">YEAR(B3)</f>
        <v>2025</v>
      </c>
      <c r="F3" s="3">
        <f t="shared" si="1"/>
        <v>45658</v>
      </c>
      <c r="G3" t="s">
        <v>26</v>
      </c>
      <c r="H3" t="s">
        <v>27</v>
      </c>
      <c r="I3" t="s">
        <v>731</v>
      </c>
      <c r="J3" t="s">
        <v>732</v>
      </c>
      <c r="K3" t="s">
        <v>18</v>
      </c>
      <c r="L3" t="s">
        <v>18</v>
      </c>
      <c r="M3" t="s">
        <v>28</v>
      </c>
      <c r="N3" t="s">
        <v>29</v>
      </c>
      <c r="O3" s="5">
        <v>4</v>
      </c>
      <c r="P3" s="16">
        <v>420.9</v>
      </c>
      <c r="Q3" s="2">
        <v>0.05</v>
      </c>
      <c r="R3" s="16">
        <v>759.29</v>
      </c>
      <c r="S3" t="s">
        <v>22</v>
      </c>
      <c r="T3" t="s">
        <v>23</v>
      </c>
      <c r="U3" t="str">
        <f t="shared" ref="U3:U66" si="5">IF(O3&lt;0,"Return","Sale")</f>
        <v>Sale</v>
      </c>
      <c r="V3" t="str">
        <f t="shared" ref="V3:V66" si="6">IF(AND(T3="Cancelled",U3="Sale"),"Check","OK")</f>
        <v>OK</v>
      </c>
      <c r="W3" s="16">
        <f t="shared" ref="W3:W66" si="7">(P3 * O3) * (1 - Q3)</f>
        <v>1599.4199999999998</v>
      </c>
      <c r="X3" s="16">
        <f t="shared" ref="X3:X66" si="8">R3*O3</f>
        <v>3037.16</v>
      </c>
      <c r="Y3" s="16">
        <f t="shared" si="2"/>
        <v>-1437.74</v>
      </c>
      <c r="Z3" s="16">
        <f t="shared" ref="Z3:Z66" si="9">IFERROR(Y3/W3, " ")</f>
        <v>-0.89891335609158329</v>
      </c>
      <c r="AD3" s="8" t="s">
        <v>964</v>
      </c>
    </row>
    <row r="4" spans="1:30" x14ac:dyDescent="0.35">
      <c r="A4" t="s">
        <v>30</v>
      </c>
      <c r="B4" s="1">
        <v>45486</v>
      </c>
      <c r="C4" s="21">
        <f t="shared" si="3"/>
        <v>7</v>
      </c>
      <c r="D4" s="19">
        <f t="shared" si="0"/>
        <v>45474</v>
      </c>
      <c r="E4" s="21">
        <f t="shared" si="4"/>
        <v>2024</v>
      </c>
      <c r="F4" s="3">
        <f t="shared" si="1"/>
        <v>45474</v>
      </c>
      <c r="G4" t="s">
        <v>32</v>
      </c>
      <c r="H4" t="s">
        <v>33</v>
      </c>
      <c r="I4" t="s">
        <v>733</v>
      </c>
      <c r="J4" t="s">
        <v>734</v>
      </c>
      <c r="K4" t="s">
        <v>18</v>
      </c>
      <c r="L4" t="s">
        <v>34</v>
      </c>
      <c r="M4" t="s">
        <v>19</v>
      </c>
      <c r="N4" t="s">
        <v>20</v>
      </c>
      <c r="O4" s="5">
        <v>14</v>
      </c>
      <c r="P4" s="16">
        <v>0</v>
      </c>
      <c r="Q4" s="2">
        <v>0</v>
      </c>
      <c r="R4" s="16">
        <v>460.51</v>
      </c>
      <c r="S4" t="s">
        <v>35</v>
      </c>
      <c r="T4" t="s">
        <v>23</v>
      </c>
      <c r="U4" t="str">
        <f t="shared" si="5"/>
        <v>Sale</v>
      </c>
      <c r="V4" t="str">
        <f t="shared" si="6"/>
        <v>OK</v>
      </c>
      <c r="W4" s="16">
        <f t="shared" si="7"/>
        <v>0</v>
      </c>
      <c r="X4" s="16">
        <f t="shared" si="8"/>
        <v>6447.1399999999994</v>
      </c>
      <c r="Y4" s="16">
        <f t="shared" si="2"/>
        <v>-6447.1399999999994</v>
      </c>
      <c r="Z4" s="16" t="str">
        <f t="shared" si="9"/>
        <v xml:space="preserve"> </v>
      </c>
      <c r="AD4" s="8">
        <v>200</v>
      </c>
    </row>
    <row r="5" spans="1:30" x14ac:dyDescent="0.35">
      <c r="A5" t="s">
        <v>36</v>
      </c>
      <c r="B5" s="1">
        <v>45630</v>
      </c>
      <c r="C5" s="21">
        <f t="shared" si="3"/>
        <v>12</v>
      </c>
      <c r="D5" s="19">
        <f t="shared" si="0"/>
        <v>45627</v>
      </c>
      <c r="E5" s="21">
        <f t="shared" si="4"/>
        <v>2024</v>
      </c>
      <c r="F5" s="3">
        <f t="shared" si="1"/>
        <v>45627</v>
      </c>
      <c r="G5" t="s">
        <v>38</v>
      </c>
      <c r="H5" t="s">
        <v>39</v>
      </c>
      <c r="I5" t="s">
        <v>735</v>
      </c>
      <c r="J5" t="s">
        <v>736</v>
      </c>
      <c r="K5" t="s">
        <v>40</v>
      </c>
      <c r="L5" t="s">
        <v>41</v>
      </c>
      <c r="M5" t="s">
        <v>19</v>
      </c>
      <c r="N5" t="s">
        <v>20</v>
      </c>
      <c r="O5" s="5">
        <v>5</v>
      </c>
      <c r="P5" s="16">
        <v>1283.7</v>
      </c>
      <c r="Q5" s="2">
        <v>0.1</v>
      </c>
      <c r="R5" s="16">
        <v>381.37</v>
      </c>
      <c r="S5" t="s">
        <v>35</v>
      </c>
      <c r="T5" t="s">
        <v>23</v>
      </c>
      <c r="U5" t="str">
        <f t="shared" si="5"/>
        <v>Sale</v>
      </c>
      <c r="V5" t="str">
        <f t="shared" si="6"/>
        <v>OK</v>
      </c>
      <c r="W5" s="16">
        <f t="shared" si="7"/>
        <v>5776.6500000000005</v>
      </c>
      <c r="X5" s="16">
        <f t="shared" si="8"/>
        <v>1906.85</v>
      </c>
      <c r="Y5" s="16">
        <f t="shared" si="2"/>
        <v>3869.8000000000006</v>
      </c>
      <c r="Z5" s="16">
        <f t="shared" si="9"/>
        <v>0.66990383699895273</v>
      </c>
      <c r="AD5" s="8"/>
    </row>
    <row r="6" spans="1:30" x14ac:dyDescent="0.35">
      <c r="A6" t="s">
        <v>43</v>
      </c>
      <c r="B6" s="1">
        <v>45484</v>
      </c>
      <c r="C6" s="21">
        <f t="shared" si="3"/>
        <v>7</v>
      </c>
      <c r="D6" s="19">
        <f t="shared" si="0"/>
        <v>45474</v>
      </c>
      <c r="E6" s="21">
        <f t="shared" si="4"/>
        <v>2024</v>
      </c>
      <c r="F6" s="3">
        <f t="shared" si="1"/>
        <v>45474</v>
      </c>
      <c r="G6" t="s">
        <v>45</v>
      </c>
      <c r="H6" t="s">
        <v>46</v>
      </c>
      <c r="I6" t="s">
        <v>737</v>
      </c>
      <c r="J6" t="s">
        <v>738</v>
      </c>
      <c r="K6" t="s">
        <v>47</v>
      </c>
      <c r="L6" t="s">
        <v>18</v>
      </c>
      <c r="M6" t="s">
        <v>19</v>
      </c>
      <c r="N6" t="s">
        <v>20</v>
      </c>
      <c r="O6" s="5">
        <v>4</v>
      </c>
      <c r="P6" s="16">
        <v>572.29</v>
      </c>
      <c r="Q6" s="2">
        <v>0.05</v>
      </c>
      <c r="R6" s="16">
        <v>640.72</v>
      </c>
      <c r="S6" t="s">
        <v>49</v>
      </c>
      <c r="T6" t="s">
        <v>23</v>
      </c>
      <c r="U6" t="str">
        <f t="shared" si="5"/>
        <v>Sale</v>
      </c>
      <c r="V6" t="str">
        <f t="shared" si="6"/>
        <v>OK</v>
      </c>
      <c r="W6" s="16">
        <f t="shared" si="7"/>
        <v>2174.7019999999998</v>
      </c>
      <c r="X6" s="16">
        <f t="shared" si="8"/>
        <v>2562.88</v>
      </c>
      <c r="Y6" s="16">
        <f t="shared" si="2"/>
        <v>-388.17800000000034</v>
      </c>
      <c r="Z6" s="16">
        <f t="shared" si="9"/>
        <v>-0.17849709983252895</v>
      </c>
      <c r="AD6" s="8"/>
    </row>
    <row r="7" spans="1:30" x14ac:dyDescent="0.35">
      <c r="A7" t="s">
        <v>50</v>
      </c>
      <c r="B7" s="1">
        <v>45325</v>
      </c>
      <c r="C7" s="21">
        <f t="shared" si="3"/>
        <v>2</v>
      </c>
      <c r="D7" s="19">
        <f t="shared" si="0"/>
        <v>45323</v>
      </c>
      <c r="E7" s="21">
        <f t="shared" si="4"/>
        <v>2024</v>
      </c>
      <c r="F7" s="3">
        <f t="shared" si="1"/>
        <v>45323</v>
      </c>
      <c r="G7" t="s">
        <v>52</v>
      </c>
      <c r="H7" t="s">
        <v>53</v>
      </c>
      <c r="I7" t="s">
        <v>825</v>
      </c>
      <c r="J7" t="s">
        <v>1009</v>
      </c>
      <c r="K7" t="s">
        <v>40</v>
      </c>
      <c r="L7" t="s">
        <v>18</v>
      </c>
      <c r="M7" t="s">
        <v>54</v>
      </c>
      <c r="N7" t="s">
        <v>55</v>
      </c>
      <c r="O7" s="5">
        <v>10</v>
      </c>
      <c r="P7" s="16">
        <v>475.44</v>
      </c>
      <c r="Q7" s="2">
        <v>0.2</v>
      </c>
      <c r="R7" s="16">
        <v>396.84</v>
      </c>
      <c r="S7" t="s">
        <v>35</v>
      </c>
      <c r="T7" t="s">
        <v>56</v>
      </c>
      <c r="U7" t="str">
        <f t="shared" si="5"/>
        <v>Sale</v>
      </c>
      <c r="V7" t="str">
        <f t="shared" si="6"/>
        <v>Check</v>
      </c>
      <c r="W7" s="16">
        <f t="shared" si="7"/>
        <v>3803.52</v>
      </c>
      <c r="X7" s="16">
        <f t="shared" si="8"/>
        <v>3968.3999999999996</v>
      </c>
      <c r="Y7" s="16">
        <f t="shared" si="2"/>
        <v>-164.87999999999965</v>
      </c>
      <c r="Z7" s="16">
        <f t="shared" si="9"/>
        <v>-4.3349318525996883E-2</v>
      </c>
      <c r="AD7" s="8" t="s">
        <v>965</v>
      </c>
    </row>
    <row r="8" spans="1:30" x14ac:dyDescent="0.35">
      <c r="A8" t="s">
        <v>57</v>
      </c>
      <c r="B8" s="1">
        <v>45477</v>
      </c>
      <c r="C8" s="21">
        <f t="shared" si="3"/>
        <v>7</v>
      </c>
      <c r="D8" s="19">
        <f t="shared" si="0"/>
        <v>45474</v>
      </c>
      <c r="E8" s="21">
        <f t="shared" si="4"/>
        <v>2024</v>
      </c>
      <c r="F8" s="3">
        <f t="shared" si="1"/>
        <v>45474</v>
      </c>
      <c r="G8" t="s">
        <v>59</v>
      </c>
      <c r="H8" t="s">
        <v>60</v>
      </c>
      <c r="I8" t="s">
        <v>788</v>
      </c>
      <c r="J8" t="s">
        <v>740</v>
      </c>
      <c r="K8" t="s">
        <v>47</v>
      </c>
      <c r="L8" t="s">
        <v>62</v>
      </c>
      <c r="M8" t="s">
        <v>28</v>
      </c>
      <c r="N8" t="s">
        <v>63</v>
      </c>
      <c r="O8" s="5">
        <v>3</v>
      </c>
      <c r="P8" s="16">
        <v>0</v>
      </c>
      <c r="Q8" s="2">
        <v>0.2</v>
      </c>
      <c r="R8" s="16">
        <v>111.43</v>
      </c>
      <c r="S8" t="s">
        <v>49</v>
      </c>
      <c r="T8" t="s">
        <v>56</v>
      </c>
      <c r="U8" t="str">
        <f t="shared" si="5"/>
        <v>Sale</v>
      </c>
      <c r="V8" t="str">
        <f t="shared" si="6"/>
        <v>Check</v>
      </c>
      <c r="W8" s="16">
        <f t="shared" si="7"/>
        <v>0</v>
      </c>
      <c r="X8" s="16">
        <f t="shared" si="8"/>
        <v>334.29</v>
      </c>
      <c r="Y8" s="16">
        <f t="shared" si="2"/>
        <v>-334.29</v>
      </c>
      <c r="Z8" s="16" t="str">
        <f t="shared" si="9"/>
        <v xml:space="preserve"> </v>
      </c>
      <c r="AD8" s="8">
        <v>143</v>
      </c>
    </row>
    <row r="9" spans="1:30" x14ac:dyDescent="0.35">
      <c r="A9" t="s">
        <v>64</v>
      </c>
      <c r="B9" s="1">
        <v>45531</v>
      </c>
      <c r="C9" s="21">
        <f t="shared" si="3"/>
        <v>8</v>
      </c>
      <c r="D9" s="19">
        <f t="shared" si="0"/>
        <v>45505</v>
      </c>
      <c r="E9" s="21">
        <f t="shared" si="4"/>
        <v>2024</v>
      </c>
      <c r="F9" s="3">
        <f t="shared" si="1"/>
        <v>45505</v>
      </c>
      <c r="G9" t="s">
        <v>66</v>
      </c>
      <c r="H9" t="s">
        <v>67</v>
      </c>
      <c r="I9" t="s">
        <v>739</v>
      </c>
      <c r="J9" t="s">
        <v>740</v>
      </c>
      <c r="K9" t="s">
        <v>17</v>
      </c>
      <c r="L9" t="s">
        <v>41</v>
      </c>
      <c r="M9" t="s">
        <v>54</v>
      </c>
      <c r="N9" t="s">
        <v>68</v>
      </c>
      <c r="O9" s="5">
        <v>14</v>
      </c>
      <c r="P9" s="16">
        <v>1022.02</v>
      </c>
      <c r="Q9" s="2">
        <v>0.1</v>
      </c>
      <c r="R9" s="16">
        <v>885.02</v>
      </c>
      <c r="S9" t="s">
        <v>1058</v>
      </c>
      <c r="T9" t="s">
        <v>23</v>
      </c>
      <c r="U9" t="str">
        <f t="shared" si="5"/>
        <v>Sale</v>
      </c>
      <c r="V9" t="str">
        <f t="shared" si="6"/>
        <v>OK</v>
      </c>
      <c r="W9" s="16">
        <f t="shared" si="7"/>
        <v>12877.451999999999</v>
      </c>
      <c r="X9" s="16">
        <f t="shared" si="8"/>
        <v>12390.279999999999</v>
      </c>
      <c r="Y9" s="16">
        <f t="shared" si="2"/>
        <v>487.17200000000048</v>
      </c>
      <c r="Z9" s="16">
        <f t="shared" si="9"/>
        <v>3.7831397080726879E-2</v>
      </c>
      <c r="AD9" s="8"/>
    </row>
    <row r="10" spans="1:30" x14ac:dyDescent="0.35">
      <c r="A10" t="s">
        <v>70</v>
      </c>
      <c r="B10" s="1">
        <v>45721</v>
      </c>
      <c r="C10" s="21">
        <f t="shared" si="3"/>
        <v>3</v>
      </c>
      <c r="D10" s="19">
        <f t="shared" si="0"/>
        <v>45717</v>
      </c>
      <c r="E10" s="21">
        <f t="shared" si="4"/>
        <v>2025</v>
      </c>
      <c r="F10" s="3">
        <f t="shared" si="1"/>
        <v>45717</v>
      </c>
      <c r="G10" t="s">
        <v>72</v>
      </c>
      <c r="H10" t="s">
        <v>73</v>
      </c>
      <c r="I10" t="s">
        <v>741</v>
      </c>
      <c r="J10" t="s">
        <v>742</v>
      </c>
      <c r="K10" t="s">
        <v>40</v>
      </c>
      <c r="L10" t="s">
        <v>41</v>
      </c>
      <c r="M10" t="s">
        <v>54</v>
      </c>
      <c r="N10" t="s">
        <v>74</v>
      </c>
      <c r="O10" s="5">
        <v>9</v>
      </c>
      <c r="P10" s="16">
        <v>763.98</v>
      </c>
      <c r="Q10" s="2">
        <v>0.2</v>
      </c>
      <c r="R10" s="16">
        <v>626.04999999999995</v>
      </c>
      <c r="S10" t="s">
        <v>22</v>
      </c>
      <c r="T10" t="s">
        <v>23</v>
      </c>
      <c r="U10" t="str">
        <f t="shared" si="5"/>
        <v>Sale</v>
      </c>
      <c r="V10" t="str">
        <f t="shared" si="6"/>
        <v>OK</v>
      </c>
      <c r="W10" s="16">
        <f t="shared" si="7"/>
        <v>5500.6559999999999</v>
      </c>
      <c r="X10" s="16">
        <f t="shared" si="8"/>
        <v>5634.45</v>
      </c>
      <c r="Y10" s="16">
        <f t="shared" si="2"/>
        <v>-133.79399999999987</v>
      </c>
      <c r="Z10" s="16">
        <f t="shared" si="9"/>
        <v>-2.4323280714154797E-2</v>
      </c>
      <c r="AD10" s="8"/>
    </row>
    <row r="11" spans="1:30" x14ac:dyDescent="0.35">
      <c r="A11" t="s">
        <v>75</v>
      </c>
      <c r="B11" s="1">
        <v>45542</v>
      </c>
      <c r="C11" s="21">
        <f t="shared" si="3"/>
        <v>9</v>
      </c>
      <c r="D11" s="19">
        <f t="shared" si="0"/>
        <v>45536</v>
      </c>
      <c r="E11" s="21">
        <f t="shared" si="4"/>
        <v>2024</v>
      </c>
      <c r="F11" s="3">
        <f t="shared" si="1"/>
        <v>45536</v>
      </c>
      <c r="G11" t="s">
        <v>77</v>
      </c>
      <c r="H11" t="s">
        <v>78</v>
      </c>
      <c r="I11" t="s">
        <v>743</v>
      </c>
      <c r="J11" t="s">
        <v>744</v>
      </c>
      <c r="K11" t="s">
        <v>17</v>
      </c>
      <c r="L11" t="s">
        <v>34</v>
      </c>
      <c r="M11" t="s">
        <v>28</v>
      </c>
      <c r="N11" t="s">
        <v>63</v>
      </c>
      <c r="O11" s="5">
        <v>15</v>
      </c>
      <c r="P11" s="16">
        <v>1478.06</v>
      </c>
      <c r="Q11" s="2">
        <v>0.05</v>
      </c>
      <c r="R11" s="16">
        <v>240.97</v>
      </c>
      <c r="S11" t="s">
        <v>1058</v>
      </c>
      <c r="T11" t="s">
        <v>23</v>
      </c>
      <c r="U11" t="str">
        <f t="shared" si="5"/>
        <v>Sale</v>
      </c>
      <c r="V11" t="str">
        <f t="shared" si="6"/>
        <v>OK</v>
      </c>
      <c r="W11" s="16">
        <f t="shared" si="7"/>
        <v>21062.354999999996</v>
      </c>
      <c r="X11" s="16">
        <f t="shared" si="8"/>
        <v>3614.55</v>
      </c>
      <c r="Y11" s="16">
        <f t="shared" si="2"/>
        <v>17447.804999999997</v>
      </c>
      <c r="Z11" s="16">
        <f t="shared" si="9"/>
        <v>0.82838813608449768</v>
      </c>
      <c r="AD11" s="8" t="s">
        <v>966</v>
      </c>
    </row>
    <row r="12" spans="1:30" x14ac:dyDescent="0.35">
      <c r="A12" t="s">
        <v>79</v>
      </c>
      <c r="B12" s="1">
        <v>45446</v>
      </c>
      <c r="C12" s="21">
        <f t="shared" si="3"/>
        <v>6</v>
      </c>
      <c r="D12" s="19">
        <f t="shared" si="0"/>
        <v>45444</v>
      </c>
      <c r="E12" s="21">
        <f t="shared" si="4"/>
        <v>2024</v>
      </c>
      <c r="F12" s="3">
        <f t="shared" si="1"/>
        <v>45444</v>
      </c>
      <c r="G12" t="s">
        <v>81</v>
      </c>
      <c r="H12" t="s">
        <v>82</v>
      </c>
      <c r="I12" t="s">
        <v>780</v>
      </c>
      <c r="J12" t="s">
        <v>809</v>
      </c>
      <c r="K12" t="s">
        <v>83</v>
      </c>
      <c r="L12" t="s">
        <v>34</v>
      </c>
      <c r="M12" t="s">
        <v>28</v>
      </c>
      <c r="N12" t="s">
        <v>29</v>
      </c>
      <c r="O12" s="5">
        <v>3</v>
      </c>
      <c r="P12" s="16">
        <v>1309.29</v>
      </c>
      <c r="Q12" s="2">
        <v>0.05</v>
      </c>
      <c r="R12" s="16">
        <v>213.37</v>
      </c>
      <c r="S12" t="s">
        <v>35</v>
      </c>
      <c r="T12" t="s">
        <v>56</v>
      </c>
      <c r="U12" t="str">
        <f t="shared" si="5"/>
        <v>Sale</v>
      </c>
      <c r="V12" t="str">
        <f t="shared" si="6"/>
        <v>Check</v>
      </c>
      <c r="W12" s="16">
        <f t="shared" si="7"/>
        <v>3731.4764999999998</v>
      </c>
      <c r="X12" s="16">
        <f t="shared" si="8"/>
        <v>640.11</v>
      </c>
      <c r="Y12" s="16">
        <f t="shared" si="2"/>
        <v>3091.3664999999996</v>
      </c>
      <c r="Z12" s="16">
        <f t="shared" si="9"/>
        <v>0.82845664444088007</v>
      </c>
      <c r="AD12" s="8">
        <v>57</v>
      </c>
    </row>
    <row r="13" spans="1:30" x14ac:dyDescent="0.35">
      <c r="A13" t="s">
        <v>84</v>
      </c>
      <c r="B13" s="1">
        <v>45752</v>
      </c>
      <c r="C13" s="21">
        <f t="shared" si="3"/>
        <v>4</v>
      </c>
      <c r="D13" s="19">
        <f t="shared" si="0"/>
        <v>45748</v>
      </c>
      <c r="E13" s="21">
        <f t="shared" si="4"/>
        <v>2025</v>
      </c>
      <c r="F13" s="3">
        <f t="shared" si="1"/>
        <v>45748</v>
      </c>
      <c r="G13" t="s">
        <v>86</v>
      </c>
      <c r="H13" t="s">
        <v>87</v>
      </c>
      <c r="I13" t="s">
        <v>745</v>
      </c>
      <c r="J13" t="s">
        <v>746</v>
      </c>
      <c r="K13" t="s">
        <v>47</v>
      </c>
      <c r="L13" t="s">
        <v>18</v>
      </c>
      <c r="M13" t="s">
        <v>19</v>
      </c>
      <c r="N13" t="s">
        <v>88</v>
      </c>
      <c r="O13" s="5">
        <v>4</v>
      </c>
      <c r="P13" s="16">
        <v>36.450000000000003</v>
      </c>
      <c r="Q13" s="2">
        <v>0</v>
      </c>
      <c r="R13" s="16">
        <v>589.26</v>
      </c>
      <c r="S13" t="s">
        <v>49</v>
      </c>
      <c r="T13" t="s">
        <v>23</v>
      </c>
      <c r="U13" t="str">
        <f t="shared" si="5"/>
        <v>Sale</v>
      </c>
      <c r="V13" t="str">
        <f t="shared" si="6"/>
        <v>OK</v>
      </c>
      <c r="W13" s="16">
        <f t="shared" si="7"/>
        <v>145.80000000000001</v>
      </c>
      <c r="X13" s="16">
        <f t="shared" si="8"/>
        <v>2357.04</v>
      </c>
      <c r="Y13" s="16">
        <f t="shared" si="2"/>
        <v>-2211.2399999999998</v>
      </c>
      <c r="Z13" s="16">
        <f t="shared" si="9"/>
        <v>-15.166255144032919</v>
      </c>
      <c r="AD13" s="8"/>
    </row>
    <row r="14" spans="1:30" x14ac:dyDescent="0.35">
      <c r="A14" t="s">
        <v>89</v>
      </c>
      <c r="B14" s="1">
        <v>45555</v>
      </c>
      <c r="C14" s="21">
        <f t="shared" si="3"/>
        <v>9</v>
      </c>
      <c r="D14" s="19">
        <f t="shared" si="0"/>
        <v>45536</v>
      </c>
      <c r="E14" s="21">
        <f t="shared" si="4"/>
        <v>2024</v>
      </c>
      <c r="F14" s="3">
        <f t="shared" si="1"/>
        <v>45536</v>
      </c>
      <c r="G14" t="s">
        <v>91</v>
      </c>
      <c r="H14" t="s">
        <v>92</v>
      </c>
      <c r="I14" t="s">
        <v>747</v>
      </c>
      <c r="J14" t="s">
        <v>748</v>
      </c>
      <c r="K14" t="s">
        <v>40</v>
      </c>
      <c r="L14" t="s">
        <v>94</v>
      </c>
      <c r="M14" t="s">
        <v>19</v>
      </c>
      <c r="N14" t="s">
        <v>20</v>
      </c>
      <c r="O14" s="5">
        <v>11</v>
      </c>
      <c r="P14" s="16">
        <v>811.15</v>
      </c>
      <c r="Q14" s="2">
        <v>0.05</v>
      </c>
      <c r="R14" s="16">
        <v>882.62</v>
      </c>
      <c r="S14" t="s">
        <v>22</v>
      </c>
      <c r="T14" t="s">
        <v>23</v>
      </c>
      <c r="U14" t="str">
        <f t="shared" si="5"/>
        <v>Sale</v>
      </c>
      <c r="V14" t="str">
        <f t="shared" si="6"/>
        <v>OK</v>
      </c>
      <c r="W14" s="16">
        <f t="shared" si="7"/>
        <v>8476.5174999999999</v>
      </c>
      <c r="X14" s="16">
        <f t="shared" si="8"/>
        <v>9708.82</v>
      </c>
      <c r="Y14" s="16">
        <f t="shared" si="2"/>
        <v>-1232.3024999999998</v>
      </c>
      <c r="Z14" s="16">
        <f t="shared" si="9"/>
        <v>-0.14537839389820167</v>
      </c>
      <c r="AD14" s="8"/>
    </row>
    <row r="15" spans="1:30" x14ac:dyDescent="0.35">
      <c r="A15" t="s">
        <v>95</v>
      </c>
      <c r="B15" s="1">
        <v>45473</v>
      </c>
      <c r="C15" s="21">
        <f t="shared" si="3"/>
        <v>6</v>
      </c>
      <c r="D15" s="19">
        <f t="shared" si="0"/>
        <v>45444</v>
      </c>
      <c r="E15" s="21">
        <f t="shared" si="4"/>
        <v>2024</v>
      </c>
      <c r="F15" s="3">
        <f t="shared" si="1"/>
        <v>45444</v>
      </c>
      <c r="G15" t="s">
        <v>97</v>
      </c>
      <c r="H15" t="s">
        <v>98</v>
      </c>
      <c r="I15" t="s">
        <v>749</v>
      </c>
      <c r="J15" t="s">
        <v>740</v>
      </c>
      <c r="K15" t="s">
        <v>17</v>
      </c>
      <c r="L15" t="s">
        <v>18</v>
      </c>
      <c r="M15" t="s">
        <v>19</v>
      </c>
      <c r="N15" t="s">
        <v>88</v>
      </c>
      <c r="O15" s="5">
        <v>12</v>
      </c>
      <c r="P15" s="16">
        <v>981.92</v>
      </c>
      <c r="Q15" s="2">
        <v>0.2</v>
      </c>
      <c r="R15" s="16">
        <v>62.49</v>
      </c>
      <c r="S15" t="s">
        <v>22</v>
      </c>
      <c r="T15" t="s">
        <v>23</v>
      </c>
      <c r="U15" t="str">
        <f t="shared" si="5"/>
        <v>Sale</v>
      </c>
      <c r="V15" t="str">
        <f t="shared" si="6"/>
        <v>OK</v>
      </c>
      <c r="W15" s="16">
        <f t="shared" si="7"/>
        <v>9426.4319999999989</v>
      </c>
      <c r="X15" s="16">
        <f t="shared" si="8"/>
        <v>749.88</v>
      </c>
      <c r="Y15" s="16">
        <f t="shared" si="2"/>
        <v>8676.5519999999997</v>
      </c>
      <c r="Z15" s="16">
        <f t="shared" si="9"/>
        <v>0.92044922193254042</v>
      </c>
      <c r="AD15" s="8" t="s">
        <v>967</v>
      </c>
    </row>
    <row r="16" spans="1:30" x14ac:dyDescent="0.35">
      <c r="A16" t="s">
        <v>99</v>
      </c>
      <c r="B16" s="1">
        <v>45363</v>
      </c>
      <c r="C16" s="21">
        <f t="shared" si="3"/>
        <v>3</v>
      </c>
      <c r="D16" s="19">
        <f t="shared" si="0"/>
        <v>45352</v>
      </c>
      <c r="E16" s="21">
        <f t="shared" si="4"/>
        <v>2024</v>
      </c>
      <c r="F16" s="3">
        <f t="shared" si="1"/>
        <v>45352</v>
      </c>
      <c r="G16" t="s">
        <v>101</v>
      </c>
      <c r="H16" t="s">
        <v>102</v>
      </c>
      <c r="I16" t="s">
        <v>750</v>
      </c>
      <c r="J16" t="s">
        <v>740</v>
      </c>
      <c r="K16" t="s">
        <v>47</v>
      </c>
      <c r="L16" t="s">
        <v>103</v>
      </c>
      <c r="M16" t="s">
        <v>28</v>
      </c>
      <c r="N16" t="s">
        <v>63</v>
      </c>
      <c r="O16" s="5">
        <v>4</v>
      </c>
      <c r="P16" s="16">
        <v>117.7</v>
      </c>
      <c r="Q16" s="2">
        <v>0</v>
      </c>
      <c r="R16" s="16">
        <v>856.25</v>
      </c>
      <c r="S16" t="s">
        <v>22</v>
      </c>
      <c r="T16" t="s">
        <v>23</v>
      </c>
      <c r="U16" t="str">
        <f t="shared" si="5"/>
        <v>Sale</v>
      </c>
      <c r="V16" t="str">
        <f t="shared" si="6"/>
        <v>OK</v>
      </c>
      <c r="W16" s="16">
        <f t="shared" si="7"/>
        <v>470.8</v>
      </c>
      <c r="X16" s="16">
        <f t="shared" si="8"/>
        <v>3425</v>
      </c>
      <c r="Y16" s="16">
        <f t="shared" si="2"/>
        <v>-2954.2</v>
      </c>
      <c r="Z16" s="16">
        <f t="shared" si="9"/>
        <v>-6.274851316907391</v>
      </c>
      <c r="AD16" s="9">
        <v>0.71499999999999997</v>
      </c>
    </row>
    <row r="17" spans="1:30" x14ac:dyDescent="0.35">
      <c r="A17" t="s">
        <v>104</v>
      </c>
      <c r="B17" s="1">
        <v>45538</v>
      </c>
      <c r="C17" s="21">
        <f t="shared" si="3"/>
        <v>9</v>
      </c>
      <c r="D17" s="19">
        <f t="shared" si="0"/>
        <v>45536</v>
      </c>
      <c r="E17" s="21">
        <f t="shared" si="4"/>
        <v>2024</v>
      </c>
      <c r="F17" s="3">
        <f t="shared" si="1"/>
        <v>45536</v>
      </c>
      <c r="G17" t="s">
        <v>106</v>
      </c>
      <c r="H17" t="s">
        <v>107</v>
      </c>
      <c r="I17" t="s">
        <v>751</v>
      </c>
      <c r="J17" t="s">
        <v>752</v>
      </c>
      <c r="K17" t="s">
        <v>40</v>
      </c>
      <c r="L17" t="s">
        <v>18</v>
      </c>
      <c r="M17" t="s">
        <v>54</v>
      </c>
      <c r="N17" t="s">
        <v>55</v>
      </c>
      <c r="O17" s="5">
        <v>7</v>
      </c>
      <c r="P17" s="16">
        <v>0</v>
      </c>
      <c r="Q17" s="2">
        <v>0.1</v>
      </c>
      <c r="R17" s="16">
        <v>391.64</v>
      </c>
      <c r="S17" t="s">
        <v>22</v>
      </c>
      <c r="T17" t="s">
        <v>23</v>
      </c>
      <c r="U17" t="str">
        <f t="shared" si="5"/>
        <v>Sale</v>
      </c>
      <c r="V17" t="str">
        <f t="shared" si="6"/>
        <v>OK</v>
      </c>
      <c r="W17" s="16">
        <f t="shared" si="7"/>
        <v>0</v>
      </c>
      <c r="X17" s="16">
        <f t="shared" si="8"/>
        <v>2741.48</v>
      </c>
      <c r="Y17" s="16">
        <f t="shared" si="2"/>
        <v>-2741.48</v>
      </c>
      <c r="Z17" s="16" t="str">
        <f t="shared" si="9"/>
        <v xml:space="preserve"> </v>
      </c>
      <c r="AD17" s="8"/>
    </row>
    <row r="18" spans="1:30" x14ac:dyDescent="0.35">
      <c r="A18" t="s">
        <v>108</v>
      </c>
      <c r="B18" s="1">
        <v>45588</v>
      </c>
      <c r="C18" s="21">
        <f t="shared" si="3"/>
        <v>10</v>
      </c>
      <c r="D18" s="19">
        <f t="shared" si="0"/>
        <v>45566</v>
      </c>
      <c r="E18" s="21">
        <f t="shared" si="4"/>
        <v>2024</v>
      </c>
      <c r="F18" s="3">
        <f t="shared" si="1"/>
        <v>45566</v>
      </c>
      <c r="G18" t="s">
        <v>110</v>
      </c>
      <c r="H18" t="s">
        <v>111</v>
      </c>
      <c r="I18" t="s">
        <v>753</v>
      </c>
      <c r="J18" t="s">
        <v>754</v>
      </c>
      <c r="K18" t="s">
        <v>17</v>
      </c>
      <c r="L18" t="s">
        <v>18</v>
      </c>
      <c r="M18" t="s">
        <v>19</v>
      </c>
      <c r="N18" t="s">
        <v>20</v>
      </c>
      <c r="O18" s="5">
        <v>6</v>
      </c>
      <c r="P18" s="16">
        <v>878.35</v>
      </c>
      <c r="Q18" s="2">
        <v>0.05</v>
      </c>
      <c r="R18" s="16">
        <v>853.01</v>
      </c>
      <c r="S18" t="s">
        <v>49</v>
      </c>
      <c r="T18" t="s">
        <v>23</v>
      </c>
      <c r="U18" t="str">
        <f t="shared" si="5"/>
        <v>Sale</v>
      </c>
      <c r="V18" t="str">
        <f t="shared" si="6"/>
        <v>OK</v>
      </c>
      <c r="W18" s="16">
        <f t="shared" si="7"/>
        <v>5006.5950000000003</v>
      </c>
      <c r="X18" s="16">
        <f t="shared" si="8"/>
        <v>5118.0599999999995</v>
      </c>
      <c r="Y18" s="16">
        <f t="shared" si="2"/>
        <v>-111.46499999999924</v>
      </c>
      <c r="Z18" s="16">
        <f t="shared" si="9"/>
        <v>-2.226363426640246E-2</v>
      </c>
      <c r="AD18" s="8"/>
    </row>
    <row r="19" spans="1:30" x14ac:dyDescent="0.35">
      <c r="A19" t="s">
        <v>113</v>
      </c>
      <c r="B19" s="1">
        <v>45325</v>
      </c>
      <c r="C19" s="21">
        <f t="shared" si="3"/>
        <v>2</v>
      </c>
      <c r="D19" s="19">
        <f t="shared" si="0"/>
        <v>45323</v>
      </c>
      <c r="E19" s="21">
        <f t="shared" si="4"/>
        <v>2024</v>
      </c>
      <c r="F19" s="3">
        <f t="shared" si="1"/>
        <v>45323</v>
      </c>
      <c r="G19" t="s">
        <v>115</v>
      </c>
      <c r="H19" t="s">
        <v>116</v>
      </c>
      <c r="I19" t="s">
        <v>755</v>
      </c>
      <c r="J19" t="s">
        <v>756</v>
      </c>
      <c r="K19" t="s">
        <v>83</v>
      </c>
      <c r="L19" t="s">
        <v>34</v>
      </c>
      <c r="M19" t="s">
        <v>19</v>
      </c>
      <c r="N19" t="s">
        <v>88</v>
      </c>
      <c r="O19" s="5">
        <v>10</v>
      </c>
      <c r="P19" s="16">
        <v>930.98</v>
      </c>
      <c r="Q19" s="2">
        <v>0.05</v>
      </c>
      <c r="R19" s="16">
        <v>584.5</v>
      </c>
      <c r="S19" t="s">
        <v>35</v>
      </c>
      <c r="T19" t="s">
        <v>23</v>
      </c>
      <c r="U19" t="str">
        <f t="shared" si="5"/>
        <v>Sale</v>
      </c>
      <c r="V19" t="str">
        <f t="shared" si="6"/>
        <v>OK</v>
      </c>
      <c r="W19" s="16">
        <f t="shared" si="7"/>
        <v>8844.31</v>
      </c>
      <c r="X19" s="16">
        <f t="shared" si="8"/>
        <v>5845</v>
      </c>
      <c r="Y19" s="16">
        <f t="shared" si="2"/>
        <v>2999.3099999999995</v>
      </c>
      <c r="Z19" s="16">
        <f t="shared" si="9"/>
        <v>0.33912311983636934</v>
      </c>
      <c r="AD19" s="8" t="s">
        <v>968</v>
      </c>
    </row>
    <row r="20" spans="1:30" x14ac:dyDescent="0.35">
      <c r="A20" t="s">
        <v>117</v>
      </c>
      <c r="B20" s="1">
        <v>45359</v>
      </c>
      <c r="C20" s="21">
        <f t="shared" si="3"/>
        <v>3</v>
      </c>
      <c r="D20" s="19">
        <f t="shared" si="0"/>
        <v>45352</v>
      </c>
      <c r="E20" s="21">
        <f t="shared" si="4"/>
        <v>2024</v>
      </c>
      <c r="F20" s="3">
        <f t="shared" si="1"/>
        <v>45352</v>
      </c>
      <c r="G20" t="s">
        <v>119</v>
      </c>
      <c r="H20" t="s">
        <v>120</v>
      </c>
      <c r="I20" t="s">
        <v>757</v>
      </c>
      <c r="J20" t="s">
        <v>758</v>
      </c>
      <c r="K20" t="s">
        <v>83</v>
      </c>
      <c r="L20" t="s">
        <v>62</v>
      </c>
      <c r="M20" t="s">
        <v>19</v>
      </c>
      <c r="N20" t="s">
        <v>88</v>
      </c>
      <c r="O20" s="5">
        <v>6</v>
      </c>
      <c r="P20" s="16">
        <v>0</v>
      </c>
      <c r="Q20" s="2">
        <v>0.05</v>
      </c>
      <c r="R20" s="16">
        <v>621.91999999999996</v>
      </c>
      <c r="S20" t="s">
        <v>35</v>
      </c>
      <c r="T20" t="s">
        <v>23</v>
      </c>
      <c r="U20" t="str">
        <f t="shared" si="5"/>
        <v>Sale</v>
      </c>
      <c r="V20" t="str">
        <f t="shared" si="6"/>
        <v>OK</v>
      </c>
      <c r="W20" s="16">
        <f t="shared" si="7"/>
        <v>0</v>
      </c>
      <c r="X20" s="16">
        <f t="shared" si="8"/>
        <v>3731.5199999999995</v>
      </c>
      <c r="Y20" s="16">
        <f t="shared" si="2"/>
        <v>-3731.5199999999995</v>
      </c>
      <c r="Z20" s="16" t="str">
        <f t="shared" si="9"/>
        <v xml:space="preserve"> </v>
      </c>
      <c r="AD20" s="9">
        <v>0.28499999999999998</v>
      </c>
    </row>
    <row r="21" spans="1:30" x14ac:dyDescent="0.35">
      <c r="A21" t="s">
        <v>121</v>
      </c>
      <c r="B21" s="1">
        <v>45742</v>
      </c>
      <c r="C21" s="21">
        <f t="shared" si="3"/>
        <v>3</v>
      </c>
      <c r="D21" s="19">
        <f t="shared" si="0"/>
        <v>45717</v>
      </c>
      <c r="E21" s="21">
        <f t="shared" si="4"/>
        <v>2025</v>
      </c>
      <c r="F21" s="3">
        <f t="shared" si="1"/>
        <v>45717</v>
      </c>
      <c r="G21" t="s">
        <v>955</v>
      </c>
      <c r="H21" t="s">
        <v>123</v>
      </c>
      <c r="I21" t="s">
        <v>759</v>
      </c>
      <c r="J21" t="s">
        <v>760</v>
      </c>
      <c r="K21" t="s">
        <v>18</v>
      </c>
      <c r="L21" t="s">
        <v>34</v>
      </c>
      <c r="M21" t="s">
        <v>19</v>
      </c>
      <c r="N21" t="s">
        <v>20</v>
      </c>
      <c r="O21" s="5">
        <v>5</v>
      </c>
      <c r="P21" s="16">
        <v>1251.45</v>
      </c>
      <c r="Q21" s="2">
        <v>0.2</v>
      </c>
      <c r="R21" s="16">
        <v>612.45000000000005</v>
      </c>
      <c r="S21" t="s">
        <v>49</v>
      </c>
      <c r="T21" t="s">
        <v>23</v>
      </c>
      <c r="U21" t="str">
        <f t="shared" si="5"/>
        <v>Sale</v>
      </c>
      <c r="V21" t="str">
        <f t="shared" si="6"/>
        <v>OK</v>
      </c>
      <c r="W21" s="16">
        <f t="shared" si="7"/>
        <v>5005.8</v>
      </c>
      <c r="X21" s="16">
        <f t="shared" si="8"/>
        <v>3062.25</v>
      </c>
      <c r="Y21" s="16">
        <f t="shared" si="2"/>
        <v>1943.5500000000002</v>
      </c>
      <c r="Z21" s="16">
        <f t="shared" si="9"/>
        <v>0.38825961884214316</v>
      </c>
      <c r="AD21" s="8"/>
    </row>
    <row r="22" spans="1:30" x14ac:dyDescent="0.35">
      <c r="A22" t="s">
        <v>124</v>
      </c>
      <c r="B22" s="1">
        <v>45747</v>
      </c>
      <c r="C22" s="21">
        <f t="shared" si="3"/>
        <v>3</v>
      </c>
      <c r="D22" s="19">
        <f t="shared" si="0"/>
        <v>45717</v>
      </c>
      <c r="E22" s="21">
        <f t="shared" si="4"/>
        <v>2025</v>
      </c>
      <c r="F22" s="3">
        <f t="shared" si="1"/>
        <v>45717</v>
      </c>
      <c r="G22" t="s">
        <v>38</v>
      </c>
      <c r="H22" t="s">
        <v>126</v>
      </c>
      <c r="I22" t="s">
        <v>761</v>
      </c>
      <c r="J22" t="s">
        <v>762</v>
      </c>
      <c r="K22" t="s">
        <v>40</v>
      </c>
      <c r="L22" t="s">
        <v>41</v>
      </c>
      <c r="M22" t="s">
        <v>19</v>
      </c>
      <c r="N22" t="s">
        <v>20</v>
      </c>
      <c r="O22" s="5">
        <v>9</v>
      </c>
      <c r="P22" s="16">
        <v>426.23</v>
      </c>
      <c r="Q22" s="2">
        <v>0.2</v>
      </c>
      <c r="R22" s="16">
        <v>344.19</v>
      </c>
      <c r="S22" t="s">
        <v>49</v>
      </c>
      <c r="T22" t="s">
        <v>23</v>
      </c>
      <c r="U22" t="str">
        <f t="shared" si="5"/>
        <v>Sale</v>
      </c>
      <c r="V22" t="str">
        <f t="shared" si="6"/>
        <v>OK</v>
      </c>
      <c r="W22" s="16">
        <f t="shared" si="7"/>
        <v>3068.8560000000002</v>
      </c>
      <c r="X22" s="16">
        <f t="shared" si="8"/>
        <v>3097.71</v>
      </c>
      <c r="Y22" s="16">
        <f t="shared" si="2"/>
        <v>-28.853999999999814</v>
      </c>
      <c r="Z22" s="16">
        <f t="shared" si="9"/>
        <v>-9.4022006897683738E-3</v>
      </c>
      <c r="AD22" s="8"/>
    </row>
    <row r="23" spans="1:30" x14ac:dyDescent="0.35">
      <c r="A23" t="s">
        <v>127</v>
      </c>
      <c r="B23" s="1">
        <v>45314</v>
      </c>
      <c r="C23" s="21">
        <f t="shared" si="3"/>
        <v>1</v>
      </c>
      <c r="D23" s="19">
        <f t="shared" si="0"/>
        <v>45292</v>
      </c>
      <c r="E23" s="21">
        <f t="shared" si="4"/>
        <v>2024</v>
      </c>
      <c r="F23" s="3">
        <f t="shared" si="1"/>
        <v>45292</v>
      </c>
      <c r="G23" t="s">
        <v>129</v>
      </c>
      <c r="H23" t="s">
        <v>130</v>
      </c>
      <c r="I23" t="s">
        <v>763</v>
      </c>
      <c r="J23" t="s">
        <v>740</v>
      </c>
      <c r="K23" t="s">
        <v>17</v>
      </c>
      <c r="L23" t="s">
        <v>103</v>
      </c>
      <c r="M23" t="s">
        <v>54</v>
      </c>
      <c r="N23" t="s">
        <v>55</v>
      </c>
      <c r="O23" s="5">
        <v>13</v>
      </c>
      <c r="P23" s="16">
        <v>1469.8</v>
      </c>
      <c r="Q23" s="2">
        <v>0.2</v>
      </c>
      <c r="R23" s="16">
        <v>442.95</v>
      </c>
      <c r="S23" t="s">
        <v>22</v>
      </c>
      <c r="T23" t="s">
        <v>23</v>
      </c>
      <c r="U23" t="str">
        <f t="shared" si="5"/>
        <v>Sale</v>
      </c>
      <c r="V23" t="str">
        <f t="shared" si="6"/>
        <v>OK</v>
      </c>
      <c r="W23" s="16">
        <f t="shared" si="7"/>
        <v>15285.919999999998</v>
      </c>
      <c r="X23" s="16">
        <f t="shared" si="8"/>
        <v>5758.3499999999995</v>
      </c>
      <c r="Y23" s="16">
        <f t="shared" si="2"/>
        <v>9527.57</v>
      </c>
      <c r="Z23" s="16">
        <f t="shared" si="9"/>
        <v>0.62329058375289159</v>
      </c>
      <c r="AD23" s="8" t="s">
        <v>969</v>
      </c>
    </row>
    <row r="24" spans="1:30" x14ac:dyDescent="0.35">
      <c r="A24" t="s">
        <v>131</v>
      </c>
      <c r="B24" s="1">
        <v>45512</v>
      </c>
      <c r="C24" s="21">
        <f t="shared" si="3"/>
        <v>8</v>
      </c>
      <c r="D24" s="19">
        <f t="shared" si="0"/>
        <v>45505</v>
      </c>
      <c r="E24" s="21">
        <f t="shared" si="4"/>
        <v>2024</v>
      </c>
      <c r="F24" s="3">
        <f t="shared" si="1"/>
        <v>45505</v>
      </c>
      <c r="G24" t="s">
        <v>133</v>
      </c>
      <c r="H24" t="s">
        <v>134</v>
      </c>
      <c r="I24" t="s">
        <v>764</v>
      </c>
      <c r="J24" t="s">
        <v>765</v>
      </c>
      <c r="K24" t="s">
        <v>17</v>
      </c>
      <c r="L24" t="s">
        <v>41</v>
      </c>
      <c r="M24" t="s">
        <v>19</v>
      </c>
      <c r="N24" t="s">
        <v>135</v>
      </c>
      <c r="O24" s="5">
        <v>5</v>
      </c>
      <c r="P24" s="16">
        <v>1399.97</v>
      </c>
      <c r="Q24" s="2">
        <v>0.1</v>
      </c>
      <c r="R24" s="16">
        <v>41.82</v>
      </c>
      <c r="S24" t="s">
        <v>1058</v>
      </c>
      <c r="T24" t="s">
        <v>23</v>
      </c>
      <c r="U24" t="str">
        <f t="shared" si="5"/>
        <v>Sale</v>
      </c>
      <c r="V24" t="str">
        <f t="shared" si="6"/>
        <v>OK</v>
      </c>
      <c r="W24" s="16">
        <f t="shared" si="7"/>
        <v>6299.8650000000007</v>
      </c>
      <c r="X24" s="16">
        <f t="shared" si="8"/>
        <v>209.1</v>
      </c>
      <c r="Y24" s="16">
        <f t="shared" si="2"/>
        <v>6090.7650000000003</v>
      </c>
      <c r="Z24" s="16">
        <f t="shared" si="9"/>
        <v>0.96680881256979312</v>
      </c>
      <c r="AD24" s="8">
        <v>87</v>
      </c>
    </row>
    <row r="25" spans="1:30" x14ac:dyDescent="0.35">
      <c r="A25" t="s">
        <v>136</v>
      </c>
      <c r="B25" s="1">
        <v>45791</v>
      </c>
      <c r="C25" s="21">
        <f t="shared" si="3"/>
        <v>5</v>
      </c>
      <c r="D25" s="19">
        <f t="shared" si="0"/>
        <v>45778</v>
      </c>
      <c r="E25" s="21">
        <f t="shared" si="4"/>
        <v>2025</v>
      </c>
      <c r="F25" s="3">
        <f t="shared" si="1"/>
        <v>45778</v>
      </c>
      <c r="G25" t="s">
        <v>138</v>
      </c>
      <c r="H25" t="s">
        <v>139</v>
      </c>
      <c r="I25" t="s">
        <v>743</v>
      </c>
      <c r="J25" t="s">
        <v>864</v>
      </c>
      <c r="K25" t="s">
        <v>18</v>
      </c>
      <c r="L25" t="s">
        <v>18</v>
      </c>
      <c r="M25" t="s">
        <v>19</v>
      </c>
      <c r="N25" t="s">
        <v>135</v>
      </c>
      <c r="O25" s="5">
        <v>-7</v>
      </c>
      <c r="P25" s="16">
        <v>1106.1600000000001</v>
      </c>
      <c r="Q25" s="2">
        <v>0.2</v>
      </c>
      <c r="R25" s="16">
        <v>930.95</v>
      </c>
      <c r="S25" t="s">
        <v>49</v>
      </c>
      <c r="T25" t="s">
        <v>56</v>
      </c>
      <c r="U25" t="str">
        <f t="shared" si="5"/>
        <v>Return</v>
      </c>
      <c r="V25" t="str">
        <f t="shared" si="6"/>
        <v>OK</v>
      </c>
      <c r="W25" s="16">
        <f t="shared" si="7"/>
        <v>-6194.496000000001</v>
      </c>
      <c r="X25" s="16">
        <f t="shared" si="8"/>
        <v>-6516.6500000000005</v>
      </c>
      <c r="Y25" s="16">
        <f t="shared" si="2"/>
        <v>322.15399999999954</v>
      </c>
      <c r="Z25" s="16">
        <f t="shared" si="9"/>
        <v>-5.2006490923555283E-2</v>
      </c>
      <c r="AD25" s="8"/>
    </row>
    <row r="26" spans="1:30" x14ac:dyDescent="0.35">
      <c r="A26" t="s">
        <v>140</v>
      </c>
      <c r="B26" s="1">
        <v>45405</v>
      </c>
      <c r="C26" s="21">
        <f t="shared" si="3"/>
        <v>4</v>
      </c>
      <c r="D26" s="19">
        <f t="shared" si="0"/>
        <v>45383</v>
      </c>
      <c r="E26" s="21">
        <f t="shared" si="4"/>
        <v>2024</v>
      </c>
      <c r="F26" s="3">
        <f t="shared" si="1"/>
        <v>45383</v>
      </c>
      <c r="G26" t="s">
        <v>142</v>
      </c>
      <c r="H26" t="s">
        <v>143</v>
      </c>
      <c r="I26" t="s">
        <v>766</v>
      </c>
      <c r="J26" t="s">
        <v>767</v>
      </c>
      <c r="K26" t="s">
        <v>768</v>
      </c>
      <c r="L26" t="s">
        <v>41</v>
      </c>
      <c r="M26" t="s">
        <v>19</v>
      </c>
      <c r="N26" t="s">
        <v>88</v>
      </c>
      <c r="O26" s="5">
        <v>15</v>
      </c>
      <c r="P26" s="16">
        <v>461.26</v>
      </c>
      <c r="Q26" s="2">
        <v>0</v>
      </c>
      <c r="R26" s="16">
        <v>229.14</v>
      </c>
      <c r="S26" t="s">
        <v>49</v>
      </c>
      <c r="T26" t="s">
        <v>23</v>
      </c>
      <c r="U26" t="str">
        <f t="shared" si="5"/>
        <v>Sale</v>
      </c>
      <c r="V26" t="str">
        <f t="shared" si="6"/>
        <v>OK</v>
      </c>
      <c r="W26" s="16">
        <f t="shared" si="7"/>
        <v>6918.9</v>
      </c>
      <c r="X26" s="16">
        <f t="shared" si="8"/>
        <v>3437.1</v>
      </c>
      <c r="Y26" s="16">
        <f t="shared" si="2"/>
        <v>3481.7999999999997</v>
      </c>
      <c r="Z26" s="16">
        <f t="shared" si="9"/>
        <v>0.50323028227030309</v>
      </c>
      <c r="AD26" s="8">
        <v>88</v>
      </c>
    </row>
    <row r="27" spans="1:30" x14ac:dyDescent="0.35">
      <c r="A27" t="s">
        <v>145</v>
      </c>
      <c r="B27" s="1">
        <v>45639</v>
      </c>
      <c r="C27" s="21">
        <f t="shared" si="3"/>
        <v>12</v>
      </c>
      <c r="D27" s="19">
        <f t="shared" si="0"/>
        <v>45627</v>
      </c>
      <c r="E27" s="21">
        <f t="shared" si="4"/>
        <v>2024</v>
      </c>
      <c r="F27" s="3">
        <f t="shared" si="1"/>
        <v>45627</v>
      </c>
      <c r="G27" t="s">
        <v>147</v>
      </c>
      <c r="H27" t="s">
        <v>148</v>
      </c>
      <c r="I27" t="s">
        <v>911</v>
      </c>
      <c r="J27" t="s">
        <v>1010</v>
      </c>
      <c r="K27" t="s">
        <v>47</v>
      </c>
      <c r="L27" t="s">
        <v>41</v>
      </c>
      <c r="M27" t="s">
        <v>19</v>
      </c>
      <c r="N27" t="s">
        <v>88</v>
      </c>
      <c r="O27" s="5">
        <v>1</v>
      </c>
      <c r="P27" s="16">
        <v>1455.75</v>
      </c>
      <c r="Q27" s="2">
        <v>0.1</v>
      </c>
      <c r="R27" s="16">
        <v>962.61</v>
      </c>
      <c r="S27" t="s">
        <v>35</v>
      </c>
      <c r="T27" t="s">
        <v>56</v>
      </c>
      <c r="U27" t="str">
        <f t="shared" si="5"/>
        <v>Sale</v>
      </c>
      <c r="V27" t="str">
        <f t="shared" si="6"/>
        <v>Check</v>
      </c>
      <c r="W27" s="16">
        <f t="shared" si="7"/>
        <v>1310.175</v>
      </c>
      <c r="X27" s="16">
        <f t="shared" si="8"/>
        <v>962.61</v>
      </c>
      <c r="Y27" s="16">
        <f t="shared" si="2"/>
        <v>347.56499999999994</v>
      </c>
      <c r="Z27" s="16">
        <f t="shared" si="9"/>
        <v>0.26528135554410665</v>
      </c>
    </row>
    <row r="28" spans="1:30" x14ac:dyDescent="0.35">
      <c r="A28" t="s">
        <v>149</v>
      </c>
      <c r="B28" s="1">
        <v>45351</v>
      </c>
      <c r="C28" s="21">
        <f t="shared" si="3"/>
        <v>2</v>
      </c>
      <c r="D28" s="19">
        <f t="shared" si="0"/>
        <v>45323</v>
      </c>
      <c r="E28" s="21">
        <f t="shared" si="4"/>
        <v>2024</v>
      </c>
      <c r="F28" s="3">
        <f t="shared" si="1"/>
        <v>45323</v>
      </c>
      <c r="G28" t="s">
        <v>151</v>
      </c>
      <c r="H28" t="s">
        <v>152</v>
      </c>
      <c r="I28" t="s">
        <v>978</v>
      </c>
      <c r="J28" t="s">
        <v>1011</v>
      </c>
      <c r="K28" t="s">
        <v>83</v>
      </c>
      <c r="L28" t="s">
        <v>41</v>
      </c>
      <c r="M28" t="s">
        <v>28</v>
      </c>
      <c r="N28" t="s">
        <v>153</v>
      </c>
      <c r="O28" s="5">
        <v>-5</v>
      </c>
      <c r="P28" s="16">
        <v>656.91</v>
      </c>
      <c r="Q28" s="2">
        <v>0.2</v>
      </c>
      <c r="R28" s="16">
        <v>806.9</v>
      </c>
      <c r="S28" t="s">
        <v>1058</v>
      </c>
      <c r="T28" t="s">
        <v>23</v>
      </c>
      <c r="U28" t="str">
        <f t="shared" si="5"/>
        <v>Return</v>
      </c>
      <c r="V28" t="str">
        <f t="shared" si="6"/>
        <v>OK</v>
      </c>
      <c r="W28" s="16">
        <f t="shared" si="7"/>
        <v>-2627.64</v>
      </c>
      <c r="X28" s="16">
        <f t="shared" si="8"/>
        <v>-4034.5</v>
      </c>
      <c r="Y28" s="16">
        <f t="shared" si="2"/>
        <v>1406.8600000000001</v>
      </c>
      <c r="Z28" s="16">
        <f t="shared" si="9"/>
        <v>-0.53540819899225167</v>
      </c>
      <c r="AD28" s="8">
        <v>6</v>
      </c>
    </row>
    <row r="29" spans="1:30" x14ac:dyDescent="0.35">
      <c r="A29" t="s">
        <v>154</v>
      </c>
      <c r="B29" s="1">
        <v>45424</v>
      </c>
      <c r="C29" s="21">
        <f t="shared" si="3"/>
        <v>5</v>
      </c>
      <c r="D29" s="19">
        <f t="shared" si="0"/>
        <v>45413</v>
      </c>
      <c r="E29" s="21">
        <f t="shared" si="4"/>
        <v>2024</v>
      </c>
      <c r="F29" s="3">
        <f t="shared" si="1"/>
        <v>45413</v>
      </c>
      <c r="G29" t="s">
        <v>156</v>
      </c>
      <c r="H29" t="s">
        <v>157</v>
      </c>
      <c r="I29" t="s">
        <v>769</v>
      </c>
      <c r="J29" t="s">
        <v>770</v>
      </c>
      <c r="K29" t="s">
        <v>47</v>
      </c>
      <c r="L29" t="s">
        <v>34</v>
      </c>
      <c r="M29" t="s">
        <v>19</v>
      </c>
      <c r="N29" t="s">
        <v>158</v>
      </c>
      <c r="O29" s="5">
        <v>5</v>
      </c>
      <c r="P29" s="16">
        <v>1002</v>
      </c>
      <c r="Q29" s="2">
        <v>0.05</v>
      </c>
      <c r="R29" s="16">
        <v>697.81</v>
      </c>
      <c r="S29" t="s">
        <v>22</v>
      </c>
      <c r="T29" t="s">
        <v>23</v>
      </c>
      <c r="U29" t="str">
        <f t="shared" si="5"/>
        <v>Sale</v>
      </c>
      <c r="V29" t="str">
        <f t="shared" si="6"/>
        <v>OK</v>
      </c>
      <c r="W29" s="16">
        <f t="shared" si="7"/>
        <v>4759.5</v>
      </c>
      <c r="X29" s="16">
        <f t="shared" si="8"/>
        <v>3489.0499999999997</v>
      </c>
      <c r="Y29" s="16">
        <f t="shared" si="2"/>
        <v>1270.4500000000003</v>
      </c>
      <c r="Z29" s="16">
        <f t="shared" si="9"/>
        <v>0.26692929929614462</v>
      </c>
      <c r="AD29" s="8"/>
    </row>
    <row r="30" spans="1:30" x14ac:dyDescent="0.35">
      <c r="A30" t="s">
        <v>159</v>
      </c>
      <c r="B30" s="1">
        <v>45718</v>
      </c>
      <c r="C30" s="21">
        <f t="shared" si="3"/>
        <v>3</v>
      </c>
      <c r="D30" s="19">
        <f t="shared" si="0"/>
        <v>45717</v>
      </c>
      <c r="E30" s="21">
        <f t="shared" si="4"/>
        <v>2025</v>
      </c>
      <c r="F30" s="3">
        <f t="shared" si="1"/>
        <v>45717</v>
      </c>
      <c r="G30" t="s">
        <v>161</v>
      </c>
      <c r="H30" t="s">
        <v>162</v>
      </c>
      <c r="I30" t="s">
        <v>771</v>
      </c>
      <c r="J30" t="s">
        <v>772</v>
      </c>
      <c r="K30" t="s">
        <v>40</v>
      </c>
      <c r="L30" t="s">
        <v>34</v>
      </c>
      <c r="M30" t="s">
        <v>54</v>
      </c>
      <c r="N30" t="s">
        <v>68</v>
      </c>
      <c r="O30" s="5">
        <v>5</v>
      </c>
      <c r="P30" s="16">
        <v>1179.71</v>
      </c>
      <c r="Q30" s="2">
        <v>0.1</v>
      </c>
      <c r="R30" s="16">
        <v>323.60000000000002</v>
      </c>
      <c r="S30" t="s">
        <v>22</v>
      </c>
      <c r="T30" t="s">
        <v>23</v>
      </c>
      <c r="U30" t="str">
        <f t="shared" si="5"/>
        <v>Sale</v>
      </c>
      <c r="V30" t="str">
        <f t="shared" si="6"/>
        <v>OK</v>
      </c>
      <c r="W30" s="16">
        <f t="shared" si="7"/>
        <v>5308.6950000000006</v>
      </c>
      <c r="X30" s="16">
        <f t="shared" si="8"/>
        <v>1618</v>
      </c>
      <c r="Y30" s="16">
        <f t="shared" si="2"/>
        <v>3690.6950000000006</v>
      </c>
      <c r="Z30" s="16">
        <f t="shared" si="9"/>
        <v>0.69521699777440593</v>
      </c>
      <c r="AD30" s="8"/>
    </row>
    <row r="31" spans="1:30" x14ac:dyDescent="0.35">
      <c r="A31" t="s">
        <v>163</v>
      </c>
      <c r="B31" s="1">
        <v>45339</v>
      </c>
      <c r="C31" s="21">
        <f t="shared" si="3"/>
        <v>2</v>
      </c>
      <c r="D31" s="19">
        <f t="shared" si="0"/>
        <v>45323</v>
      </c>
      <c r="E31" s="21">
        <f t="shared" si="4"/>
        <v>2024</v>
      </c>
      <c r="F31" s="3">
        <f t="shared" si="1"/>
        <v>45323</v>
      </c>
      <c r="G31" t="s">
        <v>165</v>
      </c>
      <c r="H31" t="s">
        <v>166</v>
      </c>
      <c r="I31" t="s">
        <v>749</v>
      </c>
      <c r="J31" t="s">
        <v>773</v>
      </c>
      <c r="K31" t="s">
        <v>17</v>
      </c>
      <c r="L31" t="s">
        <v>94</v>
      </c>
      <c r="M31" t="s">
        <v>19</v>
      </c>
      <c r="N31" t="s">
        <v>158</v>
      </c>
      <c r="O31" s="5">
        <v>11</v>
      </c>
      <c r="P31" s="16">
        <v>1210.81</v>
      </c>
      <c r="Q31" s="2">
        <v>0.1</v>
      </c>
      <c r="R31" s="16">
        <v>48.12</v>
      </c>
      <c r="S31" t="s">
        <v>1058</v>
      </c>
      <c r="T31" t="s">
        <v>23</v>
      </c>
      <c r="U31" t="str">
        <f t="shared" si="5"/>
        <v>Sale</v>
      </c>
      <c r="V31" t="str">
        <f t="shared" si="6"/>
        <v>OK</v>
      </c>
      <c r="W31" s="16">
        <f t="shared" si="7"/>
        <v>11987.019</v>
      </c>
      <c r="X31" s="16">
        <f t="shared" si="8"/>
        <v>529.31999999999994</v>
      </c>
      <c r="Y31" s="16">
        <f t="shared" si="2"/>
        <v>11457.699000000001</v>
      </c>
      <c r="Z31" s="16">
        <f t="shared" si="9"/>
        <v>0.95584223233482823</v>
      </c>
      <c r="AD31" s="8"/>
    </row>
    <row r="32" spans="1:30" x14ac:dyDescent="0.35">
      <c r="A32" t="s">
        <v>167</v>
      </c>
      <c r="B32" s="1">
        <v>45496</v>
      </c>
      <c r="C32" s="21">
        <f t="shared" si="3"/>
        <v>7</v>
      </c>
      <c r="D32" s="19">
        <f t="shared" si="0"/>
        <v>45474</v>
      </c>
      <c r="E32" s="21">
        <f t="shared" si="4"/>
        <v>2024</v>
      </c>
      <c r="F32" s="3">
        <f t="shared" si="1"/>
        <v>45474</v>
      </c>
      <c r="G32" t="s">
        <v>45</v>
      </c>
      <c r="H32" t="s">
        <v>169</v>
      </c>
      <c r="I32" t="s">
        <v>774</v>
      </c>
      <c r="J32" t="s">
        <v>762</v>
      </c>
      <c r="K32" t="s">
        <v>40</v>
      </c>
      <c r="L32" t="s">
        <v>103</v>
      </c>
      <c r="M32" t="s">
        <v>54</v>
      </c>
      <c r="N32" t="s">
        <v>55</v>
      </c>
      <c r="O32" s="5">
        <v>11</v>
      </c>
      <c r="P32" s="16">
        <v>1339.53</v>
      </c>
      <c r="Q32" s="2">
        <v>0.1</v>
      </c>
      <c r="R32" s="16">
        <v>885.69</v>
      </c>
      <c r="S32" t="s">
        <v>22</v>
      </c>
      <c r="T32" t="s">
        <v>23</v>
      </c>
      <c r="U32" t="str">
        <f t="shared" si="5"/>
        <v>Sale</v>
      </c>
      <c r="V32" t="str">
        <f t="shared" si="6"/>
        <v>OK</v>
      </c>
      <c r="W32" s="16">
        <f t="shared" si="7"/>
        <v>13261.347</v>
      </c>
      <c r="X32" s="16">
        <f t="shared" si="8"/>
        <v>9742.59</v>
      </c>
      <c r="Y32" s="16">
        <f t="shared" si="2"/>
        <v>3518.7569999999996</v>
      </c>
      <c r="Z32" s="16">
        <f t="shared" si="9"/>
        <v>0.26533933543854932</v>
      </c>
      <c r="AD32" s="8"/>
    </row>
    <row r="33" spans="1:30" x14ac:dyDescent="0.35">
      <c r="A33" t="s">
        <v>170</v>
      </c>
      <c r="B33" s="1">
        <v>45702</v>
      </c>
      <c r="C33" s="21">
        <f t="shared" si="3"/>
        <v>2</v>
      </c>
      <c r="D33" s="19">
        <f t="shared" si="0"/>
        <v>45689</v>
      </c>
      <c r="E33" s="21">
        <f t="shared" si="4"/>
        <v>2025</v>
      </c>
      <c r="F33" s="3">
        <f t="shared" si="1"/>
        <v>45689</v>
      </c>
      <c r="G33" t="s">
        <v>72</v>
      </c>
      <c r="H33" t="s">
        <v>172</v>
      </c>
      <c r="I33" t="s">
        <v>873</v>
      </c>
      <c r="J33" t="s">
        <v>1012</v>
      </c>
      <c r="K33" t="s">
        <v>40</v>
      </c>
      <c r="L33" t="s">
        <v>18</v>
      </c>
      <c r="M33" t="s">
        <v>54</v>
      </c>
      <c r="N33" t="s">
        <v>74</v>
      </c>
      <c r="O33" s="5">
        <v>9</v>
      </c>
      <c r="P33" s="16">
        <v>1425.31</v>
      </c>
      <c r="Q33" s="2">
        <v>0.2</v>
      </c>
      <c r="R33" s="16">
        <v>613.42999999999995</v>
      </c>
      <c r="S33" t="s">
        <v>1058</v>
      </c>
      <c r="T33" t="s">
        <v>56</v>
      </c>
      <c r="U33" t="str">
        <f t="shared" si="5"/>
        <v>Sale</v>
      </c>
      <c r="V33" t="str">
        <f t="shared" si="6"/>
        <v>Check</v>
      </c>
      <c r="W33" s="16">
        <f t="shared" si="7"/>
        <v>10262.232</v>
      </c>
      <c r="X33" s="16">
        <f t="shared" si="8"/>
        <v>5520.87</v>
      </c>
      <c r="Y33" s="16">
        <f t="shared" si="2"/>
        <v>4741.3620000000001</v>
      </c>
      <c r="Z33" s="16">
        <f t="shared" si="9"/>
        <v>0.46202054289943945</v>
      </c>
      <c r="AD33" s="8"/>
    </row>
    <row r="34" spans="1:30" x14ac:dyDescent="0.35">
      <c r="A34" t="s">
        <v>173</v>
      </c>
      <c r="B34" s="1">
        <v>45811</v>
      </c>
      <c r="C34" s="21">
        <f t="shared" si="3"/>
        <v>6</v>
      </c>
      <c r="D34" s="19">
        <f t="shared" ref="D34:D65" si="10">DATE(YEAR(B34),MONTH(B34),DAY(1))</f>
        <v>45809</v>
      </c>
      <c r="E34" s="21">
        <f t="shared" si="4"/>
        <v>2025</v>
      </c>
      <c r="F34" s="3">
        <f t="shared" ref="F34:F65" si="11">DATE(YEAR(B34),MONTH(B34),DAY(1))</f>
        <v>45809</v>
      </c>
      <c r="G34" t="s">
        <v>175</v>
      </c>
      <c r="H34" t="s">
        <v>176</v>
      </c>
      <c r="I34" t="s">
        <v>775</v>
      </c>
      <c r="J34" t="s">
        <v>776</v>
      </c>
      <c r="K34" t="s">
        <v>17</v>
      </c>
      <c r="L34" t="s">
        <v>18</v>
      </c>
      <c r="M34" t="s">
        <v>19</v>
      </c>
      <c r="N34" t="s">
        <v>135</v>
      </c>
      <c r="O34" s="5">
        <v>9</v>
      </c>
      <c r="P34" s="16">
        <v>362.67</v>
      </c>
      <c r="Q34" s="2">
        <v>0.05</v>
      </c>
      <c r="R34" s="16">
        <v>714.12</v>
      </c>
      <c r="S34" t="s">
        <v>22</v>
      </c>
      <c r="T34" t="s">
        <v>23</v>
      </c>
      <c r="U34" t="str">
        <f t="shared" si="5"/>
        <v>Sale</v>
      </c>
      <c r="V34" t="str">
        <f t="shared" si="6"/>
        <v>OK</v>
      </c>
      <c r="W34" s="16">
        <f t="shared" si="7"/>
        <v>3100.8285000000001</v>
      </c>
      <c r="X34" s="16">
        <f t="shared" si="8"/>
        <v>6427.08</v>
      </c>
      <c r="Y34" s="16">
        <f t="shared" ref="Y34:Y65" si="12">W34-X34</f>
        <v>-3326.2514999999999</v>
      </c>
      <c r="Z34" s="16">
        <f t="shared" si="9"/>
        <v>-1.0726976677362194</v>
      </c>
      <c r="AD34" s="8"/>
    </row>
    <row r="35" spans="1:30" x14ac:dyDescent="0.35">
      <c r="A35" t="s">
        <v>177</v>
      </c>
      <c r="B35" s="1">
        <v>45370</v>
      </c>
      <c r="C35" s="21">
        <f t="shared" si="3"/>
        <v>3</v>
      </c>
      <c r="D35" s="19">
        <f t="shared" si="10"/>
        <v>45352</v>
      </c>
      <c r="E35" s="21">
        <f t="shared" si="4"/>
        <v>2024</v>
      </c>
      <c r="F35" s="3">
        <f t="shared" si="11"/>
        <v>45352</v>
      </c>
      <c r="G35" t="s">
        <v>66</v>
      </c>
      <c r="H35" t="s">
        <v>179</v>
      </c>
      <c r="I35" t="s">
        <v>979</v>
      </c>
      <c r="J35" t="s">
        <v>925</v>
      </c>
      <c r="K35" t="s">
        <v>47</v>
      </c>
      <c r="L35" t="s">
        <v>62</v>
      </c>
      <c r="M35" t="s">
        <v>54</v>
      </c>
      <c r="N35" t="s">
        <v>68</v>
      </c>
      <c r="O35" s="5">
        <v>7</v>
      </c>
      <c r="P35" s="16">
        <v>701.56</v>
      </c>
      <c r="Q35" s="2">
        <v>0.1</v>
      </c>
      <c r="R35" s="16">
        <v>833.23</v>
      </c>
      <c r="S35" t="s">
        <v>1058</v>
      </c>
      <c r="T35" t="s">
        <v>56</v>
      </c>
      <c r="U35" t="str">
        <f t="shared" si="5"/>
        <v>Sale</v>
      </c>
      <c r="V35" t="str">
        <f t="shared" si="6"/>
        <v>Check</v>
      </c>
      <c r="W35" s="16">
        <f t="shared" si="7"/>
        <v>4419.8280000000004</v>
      </c>
      <c r="X35" s="16">
        <f t="shared" si="8"/>
        <v>5832.6100000000006</v>
      </c>
      <c r="Y35" s="16">
        <f t="shared" si="12"/>
        <v>-1412.7820000000002</v>
      </c>
      <c r="Z35" s="16">
        <f t="shared" si="9"/>
        <v>-0.3196463753793134</v>
      </c>
      <c r="AD35" s="8"/>
    </row>
    <row r="36" spans="1:30" x14ac:dyDescent="0.35">
      <c r="A36" t="s">
        <v>180</v>
      </c>
      <c r="B36" s="1">
        <v>45297</v>
      </c>
      <c r="C36" s="21">
        <f t="shared" si="3"/>
        <v>1</v>
      </c>
      <c r="D36" s="19">
        <f t="shared" si="10"/>
        <v>45292</v>
      </c>
      <c r="E36" s="21">
        <f t="shared" si="4"/>
        <v>2024</v>
      </c>
      <c r="F36" s="3">
        <f t="shared" si="11"/>
        <v>45292</v>
      </c>
      <c r="G36" t="s">
        <v>182</v>
      </c>
      <c r="H36" t="s">
        <v>183</v>
      </c>
      <c r="I36" t="s">
        <v>980</v>
      </c>
      <c r="J36" t="s">
        <v>1013</v>
      </c>
      <c r="K36" t="s">
        <v>47</v>
      </c>
      <c r="L36" t="s">
        <v>94</v>
      </c>
      <c r="M36" t="s">
        <v>19</v>
      </c>
      <c r="N36" t="s">
        <v>158</v>
      </c>
      <c r="O36" s="5">
        <v>14</v>
      </c>
      <c r="P36" s="16">
        <v>1122.54</v>
      </c>
      <c r="Q36" s="2">
        <v>0.05</v>
      </c>
      <c r="R36" s="16">
        <v>604.04999999999995</v>
      </c>
      <c r="S36" t="s">
        <v>49</v>
      </c>
      <c r="T36" t="s">
        <v>56</v>
      </c>
      <c r="U36" t="str">
        <f t="shared" si="5"/>
        <v>Sale</v>
      </c>
      <c r="V36" t="str">
        <f t="shared" si="6"/>
        <v>Check</v>
      </c>
      <c r="W36" s="16">
        <f t="shared" si="7"/>
        <v>14929.781999999999</v>
      </c>
      <c r="X36" s="16">
        <f t="shared" si="8"/>
        <v>8456.6999999999989</v>
      </c>
      <c r="Y36" s="16">
        <f t="shared" si="12"/>
        <v>6473.0820000000003</v>
      </c>
      <c r="Z36" s="16">
        <f t="shared" si="9"/>
        <v>0.43356842048999783</v>
      </c>
      <c r="AD36" s="8"/>
    </row>
    <row r="37" spans="1:30" x14ac:dyDescent="0.35">
      <c r="A37" t="s">
        <v>184</v>
      </c>
      <c r="B37" s="1">
        <v>45662</v>
      </c>
      <c r="C37" s="21">
        <f t="shared" si="3"/>
        <v>1</v>
      </c>
      <c r="D37" s="19">
        <f t="shared" si="10"/>
        <v>45658</v>
      </c>
      <c r="E37" s="21">
        <f t="shared" si="4"/>
        <v>2025</v>
      </c>
      <c r="F37" s="3">
        <f t="shared" si="11"/>
        <v>45658</v>
      </c>
      <c r="G37" t="s">
        <v>77</v>
      </c>
      <c r="H37" t="s">
        <v>186</v>
      </c>
      <c r="I37" t="s">
        <v>777</v>
      </c>
      <c r="J37" t="s">
        <v>778</v>
      </c>
      <c r="K37" t="s">
        <v>17</v>
      </c>
      <c r="L37" t="s">
        <v>34</v>
      </c>
      <c r="M37" t="s">
        <v>19</v>
      </c>
      <c r="N37" t="s">
        <v>88</v>
      </c>
      <c r="O37" s="5">
        <v>8</v>
      </c>
      <c r="P37" s="16">
        <v>1471.18</v>
      </c>
      <c r="Q37" s="2">
        <v>0.05</v>
      </c>
      <c r="R37" s="16">
        <v>907.12</v>
      </c>
      <c r="S37" t="s">
        <v>1058</v>
      </c>
      <c r="T37" t="s">
        <v>23</v>
      </c>
      <c r="U37" t="str">
        <f t="shared" si="5"/>
        <v>Sale</v>
      </c>
      <c r="V37" t="str">
        <f t="shared" si="6"/>
        <v>OK</v>
      </c>
      <c r="W37" s="16">
        <f t="shared" si="7"/>
        <v>11180.968000000001</v>
      </c>
      <c r="X37" s="16">
        <f t="shared" si="8"/>
        <v>7256.96</v>
      </c>
      <c r="Y37" s="16">
        <f t="shared" si="12"/>
        <v>3924.0080000000007</v>
      </c>
      <c r="Z37" s="16">
        <f t="shared" si="9"/>
        <v>0.35095422864997022</v>
      </c>
      <c r="AD37" s="8"/>
    </row>
    <row r="38" spans="1:30" x14ac:dyDescent="0.35">
      <c r="A38" t="s">
        <v>187</v>
      </c>
      <c r="B38" s="1">
        <v>45317</v>
      </c>
      <c r="C38" s="21">
        <f t="shared" si="3"/>
        <v>1</v>
      </c>
      <c r="D38" s="19">
        <f t="shared" si="10"/>
        <v>45292</v>
      </c>
      <c r="E38" s="21">
        <f t="shared" si="4"/>
        <v>2024</v>
      </c>
      <c r="F38" s="3">
        <f t="shared" si="11"/>
        <v>45292</v>
      </c>
      <c r="G38" t="s">
        <v>189</v>
      </c>
      <c r="H38" t="s">
        <v>190</v>
      </c>
      <c r="I38" t="s">
        <v>779</v>
      </c>
      <c r="J38" t="s">
        <v>756</v>
      </c>
      <c r="K38" t="s">
        <v>40</v>
      </c>
      <c r="L38" t="s">
        <v>103</v>
      </c>
      <c r="M38" t="s">
        <v>54</v>
      </c>
      <c r="N38" t="s">
        <v>74</v>
      </c>
      <c r="O38" s="5">
        <v>6</v>
      </c>
      <c r="P38" s="16">
        <v>493.63</v>
      </c>
      <c r="Q38" s="2">
        <v>0.1</v>
      </c>
      <c r="R38" s="16">
        <v>380.37</v>
      </c>
      <c r="S38" t="s">
        <v>49</v>
      </c>
      <c r="T38" t="s">
        <v>23</v>
      </c>
      <c r="U38" t="str">
        <f t="shared" si="5"/>
        <v>Sale</v>
      </c>
      <c r="V38" t="str">
        <f t="shared" si="6"/>
        <v>OK</v>
      </c>
      <c r="W38" s="16">
        <f t="shared" si="7"/>
        <v>2665.6019999999999</v>
      </c>
      <c r="X38" s="16">
        <f t="shared" si="8"/>
        <v>2282.2200000000003</v>
      </c>
      <c r="Y38" s="16">
        <f t="shared" si="12"/>
        <v>383.38199999999961</v>
      </c>
      <c r="Z38" s="16">
        <f t="shared" si="9"/>
        <v>0.14382567239970545</v>
      </c>
      <c r="AD38" s="8"/>
    </row>
    <row r="39" spans="1:30" x14ac:dyDescent="0.35">
      <c r="A39" t="s">
        <v>191</v>
      </c>
      <c r="B39" s="1">
        <v>45691</v>
      </c>
      <c r="C39" s="21">
        <f t="shared" si="3"/>
        <v>2</v>
      </c>
      <c r="D39" s="19">
        <f t="shared" si="10"/>
        <v>45689</v>
      </c>
      <c r="E39" s="21">
        <f t="shared" si="4"/>
        <v>2025</v>
      </c>
      <c r="F39" s="3">
        <f t="shared" si="11"/>
        <v>45689</v>
      </c>
      <c r="G39" t="s">
        <v>91</v>
      </c>
      <c r="H39" t="s">
        <v>193</v>
      </c>
      <c r="I39" t="s">
        <v>780</v>
      </c>
      <c r="J39" t="s">
        <v>781</v>
      </c>
      <c r="K39" t="s">
        <v>83</v>
      </c>
      <c r="L39" t="s">
        <v>94</v>
      </c>
      <c r="M39" t="s">
        <v>19</v>
      </c>
      <c r="N39" t="s">
        <v>20</v>
      </c>
      <c r="O39" s="5">
        <v>1</v>
      </c>
      <c r="P39" s="16">
        <v>0</v>
      </c>
      <c r="Q39" s="2">
        <v>0.05</v>
      </c>
      <c r="R39" s="16">
        <v>154.08000000000001</v>
      </c>
      <c r="S39" t="s">
        <v>35</v>
      </c>
      <c r="T39" t="s">
        <v>23</v>
      </c>
      <c r="U39" t="str">
        <f t="shared" si="5"/>
        <v>Sale</v>
      </c>
      <c r="V39" t="str">
        <f t="shared" si="6"/>
        <v>OK</v>
      </c>
      <c r="W39" s="16">
        <f t="shared" si="7"/>
        <v>0</v>
      </c>
      <c r="X39" s="16">
        <f t="shared" si="8"/>
        <v>154.08000000000001</v>
      </c>
      <c r="Y39" s="16">
        <f t="shared" si="12"/>
        <v>-154.08000000000001</v>
      </c>
      <c r="Z39" s="16" t="str">
        <f t="shared" si="9"/>
        <v xml:space="preserve"> </v>
      </c>
      <c r="AD39" s="8"/>
    </row>
    <row r="40" spans="1:30" x14ac:dyDescent="0.35">
      <c r="A40" t="s">
        <v>194</v>
      </c>
      <c r="B40" s="1">
        <v>45690</v>
      </c>
      <c r="C40" s="21">
        <f t="shared" si="3"/>
        <v>2</v>
      </c>
      <c r="D40" s="19">
        <f t="shared" si="10"/>
        <v>45689</v>
      </c>
      <c r="E40" s="21">
        <f t="shared" si="4"/>
        <v>2025</v>
      </c>
      <c r="F40" s="3">
        <f t="shared" si="11"/>
        <v>45689</v>
      </c>
      <c r="G40" t="s">
        <v>196</v>
      </c>
      <c r="H40" t="s">
        <v>197</v>
      </c>
      <c r="I40" t="s">
        <v>782</v>
      </c>
      <c r="J40" t="s">
        <v>783</v>
      </c>
      <c r="K40" t="s">
        <v>83</v>
      </c>
      <c r="L40" t="s">
        <v>103</v>
      </c>
      <c r="M40" t="s">
        <v>19</v>
      </c>
      <c r="N40" t="s">
        <v>20</v>
      </c>
      <c r="O40" s="5">
        <v>2</v>
      </c>
      <c r="P40" s="16">
        <v>1393.69</v>
      </c>
      <c r="Q40" s="2">
        <v>0.1</v>
      </c>
      <c r="R40" s="16">
        <v>908.21</v>
      </c>
      <c r="S40" t="s">
        <v>22</v>
      </c>
      <c r="T40" t="s">
        <v>23</v>
      </c>
      <c r="U40" t="str">
        <f t="shared" si="5"/>
        <v>Sale</v>
      </c>
      <c r="V40" t="str">
        <f t="shared" si="6"/>
        <v>OK</v>
      </c>
      <c r="W40" s="16">
        <f t="shared" si="7"/>
        <v>2508.6420000000003</v>
      </c>
      <c r="X40" s="16">
        <f t="shared" si="8"/>
        <v>1816.42</v>
      </c>
      <c r="Y40" s="16">
        <f t="shared" si="12"/>
        <v>692.22200000000021</v>
      </c>
      <c r="Z40" s="16">
        <f t="shared" si="9"/>
        <v>0.27593494807150648</v>
      </c>
      <c r="AD40" s="8"/>
    </row>
    <row r="41" spans="1:30" x14ac:dyDescent="0.35">
      <c r="A41" t="s">
        <v>198</v>
      </c>
      <c r="B41" s="1">
        <v>45963</v>
      </c>
      <c r="C41" s="21">
        <f t="shared" si="3"/>
        <v>11</v>
      </c>
      <c r="D41" s="19">
        <f t="shared" si="10"/>
        <v>45962</v>
      </c>
      <c r="E41" s="21">
        <f t="shared" si="4"/>
        <v>2025</v>
      </c>
      <c r="F41" s="3">
        <f t="shared" si="11"/>
        <v>45962</v>
      </c>
      <c r="G41" t="s">
        <v>200</v>
      </c>
      <c r="H41" t="s">
        <v>201</v>
      </c>
      <c r="I41" t="s">
        <v>886</v>
      </c>
      <c r="J41" t="s">
        <v>1014</v>
      </c>
      <c r="K41" t="s">
        <v>17</v>
      </c>
      <c r="L41" t="s">
        <v>94</v>
      </c>
      <c r="M41" t="s">
        <v>19</v>
      </c>
      <c r="N41" t="s">
        <v>20</v>
      </c>
      <c r="O41" s="5">
        <v>6</v>
      </c>
      <c r="P41" s="16">
        <v>993.97</v>
      </c>
      <c r="Q41" s="2">
        <v>0</v>
      </c>
      <c r="R41" s="16">
        <v>648.25</v>
      </c>
      <c r="S41" t="s">
        <v>35</v>
      </c>
      <c r="T41" t="s">
        <v>56</v>
      </c>
      <c r="U41" t="str">
        <f t="shared" si="5"/>
        <v>Sale</v>
      </c>
      <c r="V41" t="str">
        <f t="shared" si="6"/>
        <v>Check</v>
      </c>
      <c r="W41" s="16">
        <f t="shared" si="7"/>
        <v>5963.82</v>
      </c>
      <c r="X41" s="16">
        <f t="shared" si="8"/>
        <v>3889.5</v>
      </c>
      <c r="Y41" s="16">
        <f t="shared" si="12"/>
        <v>2074.3199999999997</v>
      </c>
      <c r="Z41" s="16">
        <f t="shared" si="9"/>
        <v>0.34781733855146529</v>
      </c>
      <c r="AD41" s="8"/>
    </row>
    <row r="42" spans="1:30" x14ac:dyDescent="0.35">
      <c r="A42" t="s">
        <v>202</v>
      </c>
      <c r="B42" s="1">
        <v>45382</v>
      </c>
      <c r="C42" s="21">
        <f t="shared" si="3"/>
        <v>3</v>
      </c>
      <c r="D42" s="19">
        <f t="shared" si="10"/>
        <v>45352</v>
      </c>
      <c r="E42" s="21">
        <f t="shared" si="4"/>
        <v>2024</v>
      </c>
      <c r="F42" s="3">
        <f t="shared" si="11"/>
        <v>45352</v>
      </c>
      <c r="G42" t="s">
        <v>204</v>
      </c>
      <c r="H42" t="s">
        <v>205</v>
      </c>
      <c r="I42" t="s">
        <v>824</v>
      </c>
      <c r="J42" t="s">
        <v>1015</v>
      </c>
      <c r="K42" t="s">
        <v>83</v>
      </c>
      <c r="L42" t="s">
        <v>103</v>
      </c>
      <c r="M42" t="s">
        <v>19</v>
      </c>
      <c r="N42" t="s">
        <v>88</v>
      </c>
      <c r="O42" s="5">
        <v>5</v>
      </c>
      <c r="P42" s="16">
        <v>1379.83</v>
      </c>
      <c r="Q42" s="2">
        <v>0.2</v>
      </c>
      <c r="R42" s="16">
        <v>465.94</v>
      </c>
      <c r="S42" t="s">
        <v>35</v>
      </c>
      <c r="T42" t="s">
        <v>56</v>
      </c>
      <c r="U42" t="str">
        <f t="shared" si="5"/>
        <v>Sale</v>
      </c>
      <c r="V42" t="str">
        <f t="shared" si="6"/>
        <v>Check</v>
      </c>
      <c r="W42" s="16">
        <f t="shared" si="7"/>
        <v>5519.32</v>
      </c>
      <c r="X42" s="16">
        <f t="shared" si="8"/>
        <v>2329.6999999999998</v>
      </c>
      <c r="Y42" s="16">
        <f t="shared" si="12"/>
        <v>3189.62</v>
      </c>
      <c r="Z42" s="16">
        <f t="shared" si="9"/>
        <v>0.57790090083561019</v>
      </c>
      <c r="AD42" s="8"/>
    </row>
    <row r="43" spans="1:30" x14ac:dyDescent="0.35">
      <c r="A43" t="s">
        <v>206</v>
      </c>
      <c r="B43" s="1">
        <v>45583</v>
      </c>
      <c r="C43" s="21">
        <f t="shared" si="3"/>
        <v>10</v>
      </c>
      <c r="D43" s="19">
        <f t="shared" si="10"/>
        <v>45566</v>
      </c>
      <c r="E43" s="21">
        <f t="shared" si="4"/>
        <v>2024</v>
      </c>
      <c r="F43" s="3">
        <f t="shared" si="11"/>
        <v>45566</v>
      </c>
      <c r="G43" t="s">
        <v>97</v>
      </c>
      <c r="H43" t="s">
        <v>208</v>
      </c>
      <c r="I43" t="s">
        <v>784</v>
      </c>
      <c r="J43" t="s">
        <v>785</v>
      </c>
      <c r="K43" t="s">
        <v>18</v>
      </c>
      <c r="L43" t="s">
        <v>62</v>
      </c>
      <c r="M43" t="s">
        <v>19</v>
      </c>
      <c r="N43" t="s">
        <v>88</v>
      </c>
      <c r="O43" s="5">
        <v>1</v>
      </c>
      <c r="P43" s="16">
        <v>490.9</v>
      </c>
      <c r="Q43" s="2">
        <v>0.1</v>
      </c>
      <c r="R43" s="16">
        <v>356.12</v>
      </c>
      <c r="S43" t="s">
        <v>49</v>
      </c>
      <c r="T43" t="s">
        <v>23</v>
      </c>
      <c r="U43" t="str">
        <f t="shared" si="5"/>
        <v>Sale</v>
      </c>
      <c r="V43" t="str">
        <f t="shared" si="6"/>
        <v>OK</v>
      </c>
      <c r="W43" s="16">
        <f t="shared" si="7"/>
        <v>441.81</v>
      </c>
      <c r="X43" s="16">
        <f t="shared" si="8"/>
        <v>356.12</v>
      </c>
      <c r="Y43" s="16">
        <f t="shared" si="12"/>
        <v>85.69</v>
      </c>
      <c r="Z43" s="16">
        <f t="shared" si="9"/>
        <v>0.19395215137728888</v>
      </c>
      <c r="AD43" s="8"/>
    </row>
    <row r="44" spans="1:30" x14ac:dyDescent="0.35">
      <c r="A44" t="s">
        <v>209</v>
      </c>
      <c r="B44" s="1">
        <v>45717</v>
      </c>
      <c r="C44" s="21">
        <f t="shared" si="3"/>
        <v>3</v>
      </c>
      <c r="D44" s="19">
        <f t="shared" si="10"/>
        <v>45717</v>
      </c>
      <c r="E44" s="21">
        <f t="shared" si="4"/>
        <v>2025</v>
      </c>
      <c r="F44" s="3">
        <f t="shared" si="11"/>
        <v>45717</v>
      </c>
      <c r="G44" t="s">
        <v>211</v>
      </c>
      <c r="H44" t="s">
        <v>212</v>
      </c>
      <c r="I44" t="s">
        <v>981</v>
      </c>
      <c r="J44" t="s">
        <v>1016</v>
      </c>
      <c r="K44" t="s">
        <v>83</v>
      </c>
      <c r="L44" t="s">
        <v>41</v>
      </c>
      <c r="M44" t="s">
        <v>19</v>
      </c>
      <c r="N44" t="s">
        <v>135</v>
      </c>
      <c r="O44" s="5">
        <v>4</v>
      </c>
      <c r="P44" s="16">
        <v>970.62</v>
      </c>
      <c r="Q44" s="2">
        <v>0</v>
      </c>
      <c r="R44" s="16">
        <v>793.35</v>
      </c>
      <c r="S44" t="s">
        <v>35</v>
      </c>
      <c r="T44" t="s">
        <v>56</v>
      </c>
      <c r="U44" t="str">
        <f t="shared" si="5"/>
        <v>Sale</v>
      </c>
      <c r="V44" t="str">
        <f t="shared" si="6"/>
        <v>Check</v>
      </c>
      <c r="W44" s="16">
        <f t="shared" si="7"/>
        <v>3882.48</v>
      </c>
      <c r="X44" s="16">
        <f t="shared" si="8"/>
        <v>3173.4</v>
      </c>
      <c r="Y44" s="16">
        <f t="shared" si="12"/>
        <v>709.07999999999993</v>
      </c>
      <c r="Z44" s="16">
        <f t="shared" si="9"/>
        <v>0.1826358410088397</v>
      </c>
      <c r="AD44" s="8"/>
    </row>
    <row r="45" spans="1:30" x14ac:dyDescent="0.35">
      <c r="A45" t="s">
        <v>213</v>
      </c>
      <c r="B45" s="1">
        <v>45468</v>
      </c>
      <c r="C45" s="21">
        <f t="shared" si="3"/>
        <v>6</v>
      </c>
      <c r="D45" s="19">
        <f t="shared" si="10"/>
        <v>45444</v>
      </c>
      <c r="E45" s="21">
        <f t="shared" si="4"/>
        <v>2024</v>
      </c>
      <c r="F45" s="3">
        <f t="shared" si="11"/>
        <v>45444</v>
      </c>
      <c r="G45" t="s">
        <v>215</v>
      </c>
      <c r="H45" t="s">
        <v>216</v>
      </c>
      <c r="I45" t="s">
        <v>980</v>
      </c>
      <c r="J45" t="s">
        <v>1017</v>
      </c>
      <c r="K45" t="s">
        <v>40</v>
      </c>
      <c r="L45" t="s">
        <v>18</v>
      </c>
      <c r="M45" t="s">
        <v>28</v>
      </c>
      <c r="N45" t="s">
        <v>153</v>
      </c>
      <c r="O45" s="5">
        <v>6</v>
      </c>
      <c r="P45" s="16">
        <v>683.35</v>
      </c>
      <c r="Q45" s="2">
        <v>0.2</v>
      </c>
      <c r="R45" s="16">
        <v>232.08</v>
      </c>
      <c r="S45" t="s">
        <v>22</v>
      </c>
      <c r="T45" t="s">
        <v>56</v>
      </c>
      <c r="U45" t="str">
        <f t="shared" si="5"/>
        <v>Sale</v>
      </c>
      <c r="V45" t="str">
        <f t="shared" si="6"/>
        <v>Check</v>
      </c>
      <c r="W45" s="16">
        <f t="shared" si="7"/>
        <v>3280.0800000000004</v>
      </c>
      <c r="X45" s="16">
        <f t="shared" si="8"/>
        <v>1392.48</v>
      </c>
      <c r="Y45" s="16">
        <f t="shared" si="12"/>
        <v>1887.6000000000004</v>
      </c>
      <c r="Z45" s="16">
        <f t="shared" si="9"/>
        <v>0.57547376893246516</v>
      </c>
      <c r="AD45" s="8"/>
    </row>
    <row r="46" spans="1:30" x14ac:dyDescent="0.35">
      <c r="A46" t="s">
        <v>217</v>
      </c>
      <c r="B46" s="1">
        <v>45343</v>
      </c>
      <c r="C46" s="21">
        <f t="shared" si="3"/>
        <v>2</v>
      </c>
      <c r="D46" s="19">
        <f t="shared" si="10"/>
        <v>45323</v>
      </c>
      <c r="E46" s="21">
        <f t="shared" si="4"/>
        <v>2024</v>
      </c>
      <c r="F46" s="3">
        <f t="shared" si="11"/>
        <v>45323</v>
      </c>
      <c r="G46" t="s">
        <v>219</v>
      </c>
      <c r="H46" t="s">
        <v>220</v>
      </c>
      <c r="I46" t="s">
        <v>786</v>
      </c>
      <c r="J46" t="s">
        <v>787</v>
      </c>
      <c r="K46" t="s">
        <v>40</v>
      </c>
      <c r="L46" t="s">
        <v>34</v>
      </c>
      <c r="M46" t="s">
        <v>19</v>
      </c>
      <c r="N46" t="s">
        <v>158</v>
      </c>
      <c r="O46" s="5">
        <v>6</v>
      </c>
      <c r="P46" s="16">
        <v>26.15</v>
      </c>
      <c r="Q46" s="2">
        <v>0</v>
      </c>
      <c r="R46" s="16">
        <v>275.76</v>
      </c>
      <c r="S46" t="s">
        <v>1058</v>
      </c>
      <c r="T46" t="s">
        <v>23</v>
      </c>
      <c r="U46" t="str">
        <f t="shared" si="5"/>
        <v>Sale</v>
      </c>
      <c r="V46" t="str">
        <f t="shared" si="6"/>
        <v>OK</v>
      </c>
      <c r="W46" s="16">
        <f t="shared" si="7"/>
        <v>156.89999999999998</v>
      </c>
      <c r="X46" s="16">
        <f t="shared" si="8"/>
        <v>1654.56</v>
      </c>
      <c r="Y46" s="16">
        <f t="shared" si="12"/>
        <v>-1497.6599999999999</v>
      </c>
      <c r="Z46" s="16">
        <f t="shared" si="9"/>
        <v>-9.5453154875717026</v>
      </c>
      <c r="AD46" s="8"/>
    </row>
    <row r="47" spans="1:30" x14ac:dyDescent="0.35">
      <c r="A47" t="s">
        <v>221</v>
      </c>
      <c r="B47" s="1">
        <v>45532</v>
      </c>
      <c r="C47" s="21">
        <f t="shared" si="3"/>
        <v>8</v>
      </c>
      <c r="D47" s="19">
        <f t="shared" si="10"/>
        <v>45505</v>
      </c>
      <c r="E47" s="21">
        <f t="shared" si="4"/>
        <v>2024</v>
      </c>
      <c r="F47" s="3">
        <f t="shared" si="11"/>
        <v>45505</v>
      </c>
      <c r="G47" t="s">
        <v>86</v>
      </c>
      <c r="H47" t="s">
        <v>223</v>
      </c>
      <c r="I47" t="s">
        <v>788</v>
      </c>
      <c r="J47" t="s">
        <v>789</v>
      </c>
      <c r="K47" t="s">
        <v>47</v>
      </c>
      <c r="L47" t="s">
        <v>18</v>
      </c>
      <c r="M47" t="s">
        <v>19</v>
      </c>
      <c r="N47" t="s">
        <v>158</v>
      </c>
      <c r="O47" s="5">
        <v>1</v>
      </c>
      <c r="P47" s="16">
        <v>1293.28</v>
      </c>
      <c r="Q47" s="2">
        <v>0.1</v>
      </c>
      <c r="R47" s="16">
        <v>67.209999999999994</v>
      </c>
      <c r="S47" t="s">
        <v>22</v>
      </c>
      <c r="T47" t="s">
        <v>23</v>
      </c>
      <c r="U47" t="str">
        <f t="shared" si="5"/>
        <v>Sale</v>
      </c>
      <c r="V47" t="str">
        <f t="shared" si="6"/>
        <v>OK</v>
      </c>
      <c r="W47" s="16">
        <f t="shared" si="7"/>
        <v>1163.952</v>
      </c>
      <c r="X47" s="16">
        <f t="shared" si="8"/>
        <v>67.209999999999994</v>
      </c>
      <c r="Y47" s="16">
        <f t="shared" si="12"/>
        <v>1096.742</v>
      </c>
      <c r="Z47" s="16">
        <f t="shared" si="9"/>
        <v>0.94225706902002826</v>
      </c>
      <c r="AD47" s="8"/>
    </row>
    <row r="48" spans="1:30" x14ac:dyDescent="0.35">
      <c r="A48" t="s">
        <v>224</v>
      </c>
      <c r="B48" s="1">
        <v>45352</v>
      </c>
      <c r="C48" s="21">
        <f t="shared" si="3"/>
        <v>3</v>
      </c>
      <c r="D48" s="19">
        <f t="shared" si="10"/>
        <v>45352</v>
      </c>
      <c r="E48" s="21">
        <f t="shared" si="4"/>
        <v>2024</v>
      </c>
      <c r="F48" s="3">
        <f t="shared" si="11"/>
        <v>45352</v>
      </c>
      <c r="G48" t="s">
        <v>226</v>
      </c>
      <c r="H48" t="s">
        <v>970</v>
      </c>
      <c r="I48" t="s">
        <v>982</v>
      </c>
      <c r="J48" t="s">
        <v>790</v>
      </c>
      <c r="K48" t="s">
        <v>47</v>
      </c>
      <c r="L48" t="s">
        <v>41</v>
      </c>
      <c r="M48" t="s">
        <v>19</v>
      </c>
      <c r="N48" t="s">
        <v>135</v>
      </c>
      <c r="O48" s="5">
        <v>10</v>
      </c>
      <c r="P48" s="16">
        <v>342.4</v>
      </c>
      <c r="Q48" s="2">
        <v>0.1</v>
      </c>
      <c r="R48" s="16">
        <v>451.61</v>
      </c>
      <c r="S48" t="s">
        <v>49</v>
      </c>
      <c r="T48" t="s">
        <v>23</v>
      </c>
      <c r="U48" t="str">
        <f t="shared" si="5"/>
        <v>Sale</v>
      </c>
      <c r="V48" t="str">
        <f t="shared" si="6"/>
        <v>OK</v>
      </c>
      <c r="W48" s="16">
        <f t="shared" si="7"/>
        <v>3081.6</v>
      </c>
      <c r="X48" s="16">
        <f t="shared" si="8"/>
        <v>4516.1000000000004</v>
      </c>
      <c r="Y48" s="16">
        <f t="shared" si="12"/>
        <v>-1434.5000000000005</v>
      </c>
      <c r="Z48" s="16">
        <f t="shared" si="9"/>
        <v>-0.46550493250259622</v>
      </c>
      <c r="AD48" s="8"/>
    </row>
    <row r="49" spans="1:30" x14ac:dyDescent="0.35">
      <c r="A49" t="s">
        <v>228</v>
      </c>
      <c r="B49" s="1">
        <v>45427</v>
      </c>
      <c r="C49" s="21">
        <f t="shared" si="3"/>
        <v>5</v>
      </c>
      <c r="D49" s="19">
        <f t="shared" si="10"/>
        <v>45413</v>
      </c>
      <c r="E49" s="21">
        <f t="shared" si="4"/>
        <v>2024</v>
      </c>
      <c r="F49" s="3">
        <f t="shared" si="11"/>
        <v>45413</v>
      </c>
      <c r="G49" t="s">
        <v>955</v>
      </c>
      <c r="H49" t="s">
        <v>230</v>
      </c>
      <c r="I49" t="s">
        <v>983</v>
      </c>
      <c r="J49" t="s">
        <v>1018</v>
      </c>
      <c r="K49" t="s">
        <v>18</v>
      </c>
      <c r="L49" t="s">
        <v>34</v>
      </c>
      <c r="M49" t="s">
        <v>19</v>
      </c>
      <c r="N49" t="s">
        <v>135</v>
      </c>
      <c r="O49" s="5">
        <v>3</v>
      </c>
      <c r="P49" s="16">
        <v>239.02</v>
      </c>
      <c r="Q49" s="2">
        <v>0.1</v>
      </c>
      <c r="R49" s="16">
        <v>689.99</v>
      </c>
      <c r="S49" t="s">
        <v>35</v>
      </c>
      <c r="T49" t="s">
        <v>56</v>
      </c>
      <c r="U49" t="str">
        <f t="shared" si="5"/>
        <v>Sale</v>
      </c>
      <c r="V49" t="str">
        <f t="shared" si="6"/>
        <v>Check</v>
      </c>
      <c r="W49" s="16">
        <f t="shared" si="7"/>
        <v>645.35400000000004</v>
      </c>
      <c r="X49" s="16">
        <f t="shared" si="8"/>
        <v>2069.9700000000003</v>
      </c>
      <c r="Y49" s="16">
        <f t="shared" si="12"/>
        <v>-1424.6160000000002</v>
      </c>
      <c r="Z49" s="16">
        <f t="shared" si="9"/>
        <v>-2.2074954211177125</v>
      </c>
      <c r="AD49" s="8"/>
    </row>
    <row r="50" spans="1:30" x14ac:dyDescent="0.35">
      <c r="A50" t="s">
        <v>231</v>
      </c>
      <c r="B50" s="1">
        <v>45765</v>
      </c>
      <c r="C50" s="21">
        <f t="shared" si="3"/>
        <v>4</v>
      </c>
      <c r="D50" s="19">
        <f t="shared" si="10"/>
        <v>45748</v>
      </c>
      <c r="E50" s="21">
        <f t="shared" si="4"/>
        <v>2025</v>
      </c>
      <c r="F50" s="3">
        <f t="shared" si="11"/>
        <v>45748</v>
      </c>
      <c r="G50" t="s">
        <v>45</v>
      </c>
      <c r="H50" t="s">
        <v>233</v>
      </c>
      <c r="I50" t="s">
        <v>791</v>
      </c>
      <c r="J50" t="s">
        <v>792</v>
      </c>
      <c r="K50" t="s">
        <v>18</v>
      </c>
      <c r="L50" t="s">
        <v>18</v>
      </c>
      <c r="M50" t="s">
        <v>19</v>
      </c>
      <c r="N50" t="s">
        <v>135</v>
      </c>
      <c r="O50" s="5">
        <v>13</v>
      </c>
      <c r="P50" s="16">
        <v>993.47</v>
      </c>
      <c r="Q50" s="2">
        <v>0.05</v>
      </c>
      <c r="R50" s="16">
        <v>426.29</v>
      </c>
      <c r="S50" t="s">
        <v>49</v>
      </c>
      <c r="T50" t="s">
        <v>23</v>
      </c>
      <c r="U50" t="str">
        <f t="shared" si="5"/>
        <v>Sale</v>
      </c>
      <c r="V50" t="str">
        <f t="shared" si="6"/>
        <v>OK</v>
      </c>
      <c r="W50" s="16">
        <f t="shared" si="7"/>
        <v>12269.354499999999</v>
      </c>
      <c r="X50" s="16">
        <f t="shared" si="8"/>
        <v>5541.77</v>
      </c>
      <c r="Y50" s="16">
        <f t="shared" si="12"/>
        <v>6727.584499999999</v>
      </c>
      <c r="Z50" s="16">
        <f t="shared" si="9"/>
        <v>0.54832424150757064</v>
      </c>
      <c r="AD50" s="8"/>
    </row>
    <row r="51" spans="1:30" x14ac:dyDescent="0.35">
      <c r="A51" t="s">
        <v>234</v>
      </c>
      <c r="B51" s="1">
        <v>45596</v>
      </c>
      <c r="C51" s="21">
        <f t="shared" si="3"/>
        <v>10</v>
      </c>
      <c r="D51" s="19">
        <f t="shared" si="10"/>
        <v>45566</v>
      </c>
      <c r="E51" s="21">
        <f t="shared" si="4"/>
        <v>2024</v>
      </c>
      <c r="F51" s="3">
        <f t="shared" si="11"/>
        <v>45566</v>
      </c>
      <c r="G51" t="s">
        <v>72</v>
      </c>
      <c r="H51" t="s">
        <v>236</v>
      </c>
      <c r="I51" t="s">
        <v>984</v>
      </c>
      <c r="J51" t="s">
        <v>1019</v>
      </c>
      <c r="K51" t="s">
        <v>40</v>
      </c>
      <c r="L51" t="s">
        <v>103</v>
      </c>
      <c r="M51" t="s">
        <v>19</v>
      </c>
      <c r="N51" t="s">
        <v>158</v>
      </c>
      <c r="O51" s="5">
        <v>5</v>
      </c>
      <c r="P51" s="16">
        <v>705.7</v>
      </c>
      <c r="Q51" s="2">
        <v>0.1</v>
      </c>
      <c r="R51" s="16">
        <v>403.7</v>
      </c>
      <c r="S51" t="s">
        <v>49</v>
      </c>
      <c r="T51" t="s">
        <v>56</v>
      </c>
      <c r="U51" t="str">
        <f t="shared" si="5"/>
        <v>Sale</v>
      </c>
      <c r="V51" t="str">
        <f t="shared" si="6"/>
        <v>Check</v>
      </c>
      <c r="W51" s="16">
        <f t="shared" si="7"/>
        <v>3175.65</v>
      </c>
      <c r="X51" s="16">
        <f t="shared" si="8"/>
        <v>2018.5</v>
      </c>
      <c r="Y51" s="16">
        <f t="shared" si="12"/>
        <v>1157.1500000000001</v>
      </c>
      <c r="Z51" s="16">
        <f t="shared" si="9"/>
        <v>0.3643820950041724</v>
      </c>
      <c r="AD51" s="8"/>
    </row>
    <row r="52" spans="1:30" x14ac:dyDescent="0.35">
      <c r="A52" t="s">
        <v>237</v>
      </c>
      <c r="B52" s="1">
        <v>45305</v>
      </c>
      <c r="C52" s="21">
        <f t="shared" si="3"/>
        <v>1</v>
      </c>
      <c r="D52" s="19">
        <f t="shared" si="10"/>
        <v>45292</v>
      </c>
      <c r="E52" s="21">
        <f t="shared" si="4"/>
        <v>2024</v>
      </c>
      <c r="F52" s="3">
        <f t="shared" si="11"/>
        <v>45292</v>
      </c>
      <c r="G52" t="s">
        <v>175</v>
      </c>
      <c r="H52" t="s">
        <v>239</v>
      </c>
      <c r="I52" t="s">
        <v>793</v>
      </c>
      <c r="J52" t="s">
        <v>794</v>
      </c>
      <c r="K52" t="s">
        <v>40</v>
      </c>
      <c r="L52" t="s">
        <v>94</v>
      </c>
      <c r="M52" t="s">
        <v>19</v>
      </c>
      <c r="N52" t="s">
        <v>158</v>
      </c>
      <c r="O52" s="5">
        <v>11</v>
      </c>
      <c r="P52" s="16">
        <v>864.92</v>
      </c>
      <c r="Q52" s="2">
        <v>0.2</v>
      </c>
      <c r="R52" s="16">
        <v>999.57</v>
      </c>
      <c r="S52" t="s">
        <v>1058</v>
      </c>
      <c r="T52" t="s">
        <v>23</v>
      </c>
      <c r="U52" t="str">
        <f t="shared" si="5"/>
        <v>Sale</v>
      </c>
      <c r="V52" t="str">
        <f t="shared" si="6"/>
        <v>OK</v>
      </c>
      <c r="W52" s="16">
        <f t="shared" si="7"/>
        <v>7611.2959999999994</v>
      </c>
      <c r="X52" s="16">
        <f t="shared" si="8"/>
        <v>10995.27</v>
      </c>
      <c r="Y52" s="16">
        <f t="shared" si="12"/>
        <v>-3383.9740000000011</v>
      </c>
      <c r="Z52" s="16">
        <f t="shared" si="9"/>
        <v>-0.44459892244369437</v>
      </c>
      <c r="AD52" s="8"/>
    </row>
    <row r="53" spans="1:30" x14ac:dyDescent="0.35">
      <c r="A53" t="s">
        <v>240</v>
      </c>
      <c r="B53" s="1">
        <v>45617</v>
      </c>
      <c r="C53" s="21">
        <f t="shared" si="3"/>
        <v>11</v>
      </c>
      <c r="D53" s="19">
        <f t="shared" si="10"/>
        <v>45597</v>
      </c>
      <c r="E53" s="21">
        <f t="shared" si="4"/>
        <v>2024</v>
      </c>
      <c r="F53" s="3">
        <f t="shared" si="11"/>
        <v>45597</v>
      </c>
      <c r="G53" t="s">
        <v>242</v>
      </c>
      <c r="H53" t="s">
        <v>243</v>
      </c>
      <c r="I53" t="s">
        <v>795</v>
      </c>
      <c r="J53" t="s">
        <v>796</v>
      </c>
      <c r="K53" t="s">
        <v>18</v>
      </c>
      <c r="L53" t="s">
        <v>34</v>
      </c>
      <c r="M53" t="s">
        <v>19</v>
      </c>
      <c r="N53" t="s">
        <v>88</v>
      </c>
      <c r="O53" s="5">
        <v>8</v>
      </c>
      <c r="P53" s="16">
        <v>503.3</v>
      </c>
      <c r="Q53" s="2">
        <v>0.1</v>
      </c>
      <c r="R53" s="16">
        <v>858.02</v>
      </c>
      <c r="S53" t="s">
        <v>1058</v>
      </c>
      <c r="T53" t="s">
        <v>23</v>
      </c>
      <c r="U53" t="str">
        <f t="shared" si="5"/>
        <v>Sale</v>
      </c>
      <c r="V53" t="str">
        <f t="shared" si="6"/>
        <v>OK</v>
      </c>
      <c r="W53" s="16">
        <f t="shared" si="7"/>
        <v>3623.76</v>
      </c>
      <c r="X53" s="16">
        <f t="shared" si="8"/>
        <v>6864.16</v>
      </c>
      <c r="Y53" s="16">
        <f t="shared" si="12"/>
        <v>-3240.3999999999996</v>
      </c>
      <c r="Z53" s="16">
        <f t="shared" si="9"/>
        <v>-0.89420932953617227</v>
      </c>
      <c r="AD53" s="8"/>
    </row>
    <row r="54" spans="1:30" x14ac:dyDescent="0.35">
      <c r="A54" t="s">
        <v>244</v>
      </c>
      <c r="B54" s="1">
        <v>45453</v>
      </c>
      <c r="C54" s="21">
        <f t="shared" si="3"/>
        <v>6</v>
      </c>
      <c r="D54" s="19">
        <f t="shared" si="10"/>
        <v>45444</v>
      </c>
      <c r="E54" s="21">
        <f t="shared" si="4"/>
        <v>2024</v>
      </c>
      <c r="F54" s="3">
        <f t="shared" si="11"/>
        <v>45444</v>
      </c>
      <c r="G54" t="s">
        <v>246</v>
      </c>
      <c r="H54" t="s">
        <v>247</v>
      </c>
      <c r="I54" t="s">
        <v>985</v>
      </c>
      <c r="J54" t="s">
        <v>1020</v>
      </c>
      <c r="K54" t="s">
        <v>47</v>
      </c>
      <c r="L54" t="s">
        <v>18</v>
      </c>
      <c r="M54" t="s">
        <v>54</v>
      </c>
      <c r="N54" t="s">
        <v>74</v>
      </c>
      <c r="O54" s="5">
        <v>2</v>
      </c>
      <c r="P54" s="16">
        <v>609.24</v>
      </c>
      <c r="Q54" s="2">
        <v>0.2</v>
      </c>
      <c r="R54" s="16">
        <v>988.14</v>
      </c>
      <c r="S54" t="s">
        <v>35</v>
      </c>
      <c r="T54" t="s">
        <v>56</v>
      </c>
      <c r="U54" t="str">
        <f t="shared" si="5"/>
        <v>Sale</v>
      </c>
      <c r="V54" t="str">
        <f t="shared" si="6"/>
        <v>Check</v>
      </c>
      <c r="W54" s="16">
        <f t="shared" si="7"/>
        <v>974.78400000000011</v>
      </c>
      <c r="X54" s="16">
        <f t="shared" si="8"/>
        <v>1976.28</v>
      </c>
      <c r="Y54" s="16">
        <f t="shared" si="12"/>
        <v>-1001.4959999999999</v>
      </c>
      <c r="Z54" s="16">
        <f t="shared" si="9"/>
        <v>-1.0274029938940317</v>
      </c>
      <c r="AD54" s="8"/>
    </row>
    <row r="55" spans="1:30" x14ac:dyDescent="0.35">
      <c r="A55" t="s">
        <v>248</v>
      </c>
      <c r="B55" s="1">
        <v>45396</v>
      </c>
      <c r="C55" s="21">
        <f t="shared" si="3"/>
        <v>4</v>
      </c>
      <c r="D55" s="19">
        <f t="shared" si="10"/>
        <v>45383</v>
      </c>
      <c r="E55" s="21">
        <f t="shared" si="4"/>
        <v>2024</v>
      </c>
      <c r="F55" s="3">
        <f t="shared" si="11"/>
        <v>45383</v>
      </c>
      <c r="G55" t="s">
        <v>250</v>
      </c>
      <c r="H55" t="s">
        <v>251</v>
      </c>
      <c r="I55" t="s">
        <v>917</v>
      </c>
      <c r="J55" t="s">
        <v>1021</v>
      </c>
      <c r="K55" t="s">
        <v>40</v>
      </c>
      <c r="L55" t="s">
        <v>41</v>
      </c>
      <c r="M55" t="s">
        <v>54</v>
      </c>
      <c r="N55" t="s">
        <v>74</v>
      </c>
      <c r="O55" s="5">
        <v>3</v>
      </c>
      <c r="P55" s="16">
        <v>659.98</v>
      </c>
      <c r="Q55" s="2">
        <v>0.2</v>
      </c>
      <c r="R55" s="16">
        <v>123.18</v>
      </c>
      <c r="S55" t="s">
        <v>49</v>
      </c>
      <c r="T55" t="s">
        <v>56</v>
      </c>
      <c r="U55" t="str">
        <f t="shared" si="5"/>
        <v>Sale</v>
      </c>
      <c r="V55" t="str">
        <f t="shared" si="6"/>
        <v>Check</v>
      </c>
      <c r="W55" s="16">
        <f t="shared" si="7"/>
        <v>1583.9520000000002</v>
      </c>
      <c r="X55" s="16">
        <f t="shared" si="8"/>
        <v>369.54</v>
      </c>
      <c r="Y55" s="16">
        <f t="shared" si="12"/>
        <v>1214.4120000000003</v>
      </c>
      <c r="Z55" s="16">
        <f t="shared" si="9"/>
        <v>0.76669747568108126</v>
      </c>
      <c r="AD55" s="8"/>
    </row>
    <row r="56" spans="1:30" x14ac:dyDescent="0.35">
      <c r="A56" t="s">
        <v>252</v>
      </c>
      <c r="B56" s="1">
        <v>45722</v>
      </c>
      <c r="C56" s="21">
        <f t="shared" si="3"/>
        <v>3</v>
      </c>
      <c r="D56" s="19">
        <f t="shared" si="10"/>
        <v>45717</v>
      </c>
      <c r="E56" s="21">
        <f t="shared" si="4"/>
        <v>2025</v>
      </c>
      <c r="F56" s="3">
        <f t="shared" si="11"/>
        <v>45717</v>
      </c>
      <c r="G56" t="s">
        <v>175</v>
      </c>
      <c r="H56" t="s">
        <v>254</v>
      </c>
      <c r="I56" t="s">
        <v>906</v>
      </c>
      <c r="J56" t="s">
        <v>1022</v>
      </c>
      <c r="K56" t="s">
        <v>40</v>
      </c>
      <c r="L56" t="s">
        <v>94</v>
      </c>
      <c r="M56" t="s">
        <v>19</v>
      </c>
      <c r="N56" t="s">
        <v>135</v>
      </c>
      <c r="O56" s="5">
        <v>2</v>
      </c>
      <c r="P56" s="16">
        <v>235.19</v>
      </c>
      <c r="Q56" s="2">
        <v>0.2</v>
      </c>
      <c r="R56" s="16">
        <v>293.27999999999997</v>
      </c>
      <c r="S56" t="s">
        <v>22</v>
      </c>
      <c r="T56" t="s">
        <v>56</v>
      </c>
      <c r="U56" t="str">
        <f t="shared" si="5"/>
        <v>Sale</v>
      </c>
      <c r="V56" t="str">
        <f t="shared" si="6"/>
        <v>Check</v>
      </c>
      <c r="W56" s="16">
        <f t="shared" si="7"/>
        <v>376.30400000000003</v>
      </c>
      <c r="X56" s="16">
        <f t="shared" si="8"/>
        <v>586.55999999999995</v>
      </c>
      <c r="Y56" s="16">
        <f t="shared" si="12"/>
        <v>-210.25599999999991</v>
      </c>
      <c r="Z56" s="16">
        <f t="shared" si="9"/>
        <v>-0.55873974233598345</v>
      </c>
      <c r="AD56" s="8"/>
    </row>
    <row r="57" spans="1:30" x14ac:dyDescent="0.35">
      <c r="A57" t="s">
        <v>255</v>
      </c>
      <c r="B57" s="1">
        <v>45488</v>
      </c>
      <c r="C57" s="21">
        <f t="shared" si="3"/>
        <v>7</v>
      </c>
      <c r="D57" s="19">
        <f t="shared" si="10"/>
        <v>45474</v>
      </c>
      <c r="E57" s="21">
        <f t="shared" si="4"/>
        <v>2024</v>
      </c>
      <c r="F57" s="3">
        <f t="shared" si="11"/>
        <v>45474</v>
      </c>
      <c r="G57" t="s">
        <v>97</v>
      </c>
      <c r="H57" t="s">
        <v>257</v>
      </c>
      <c r="I57" t="s">
        <v>797</v>
      </c>
      <c r="J57" t="s">
        <v>798</v>
      </c>
      <c r="K57" t="s">
        <v>18</v>
      </c>
      <c r="L57" t="s">
        <v>103</v>
      </c>
      <c r="M57" t="s">
        <v>28</v>
      </c>
      <c r="N57" t="s">
        <v>29</v>
      </c>
      <c r="O57" s="5">
        <v>10</v>
      </c>
      <c r="P57" s="16">
        <v>1319.59</v>
      </c>
      <c r="Q57" s="2">
        <v>0.1</v>
      </c>
      <c r="R57" s="16">
        <v>277.69</v>
      </c>
      <c r="S57" t="s">
        <v>35</v>
      </c>
      <c r="T57" t="s">
        <v>23</v>
      </c>
      <c r="U57" t="str">
        <f t="shared" si="5"/>
        <v>Sale</v>
      </c>
      <c r="V57" t="str">
        <f t="shared" si="6"/>
        <v>OK</v>
      </c>
      <c r="W57" s="16">
        <f t="shared" si="7"/>
        <v>11876.31</v>
      </c>
      <c r="X57" s="16">
        <f t="shared" si="8"/>
        <v>2776.9</v>
      </c>
      <c r="Y57" s="16">
        <f t="shared" si="12"/>
        <v>9099.41</v>
      </c>
      <c r="Z57" s="16">
        <f t="shared" si="9"/>
        <v>0.76618158333691189</v>
      </c>
      <c r="AD57" s="8"/>
    </row>
    <row r="58" spans="1:30" x14ac:dyDescent="0.35">
      <c r="A58" t="s">
        <v>258</v>
      </c>
      <c r="B58" s="1">
        <v>45629</v>
      </c>
      <c r="C58" s="21">
        <f t="shared" si="3"/>
        <v>12</v>
      </c>
      <c r="D58" s="19">
        <f t="shared" si="10"/>
        <v>45627</v>
      </c>
      <c r="E58" s="21">
        <f t="shared" si="4"/>
        <v>2024</v>
      </c>
      <c r="F58" s="3">
        <f t="shared" si="11"/>
        <v>45627</v>
      </c>
      <c r="G58" t="s">
        <v>215</v>
      </c>
      <c r="H58" t="s">
        <v>260</v>
      </c>
      <c r="I58" t="s">
        <v>799</v>
      </c>
      <c r="J58" t="s">
        <v>800</v>
      </c>
      <c r="K58" t="s">
        <v>83</v>
      </c>
      <c r="L58" t="s">
        <v>62</v>
      </c>
      <c r="M58" t="s">
        <v>28</v>
      </c>
      <c r="N58" t="s">
        <v>153</v>
      </c>
      <c r="O58" s="5">
        <v>9</v>
      </c>
      <c r="P58" s="16">
        <v>502</v>
      </c>
      <c r="Q58" s="2">
        <v>0.1</v>
      </c>
      <c r="R58" s="16">
        <v>378.46</v>
      </c>
      <c r="S58" t="s">
        <v>1058</v>
      </c>
      <c r="T58" t="s">
        <v>23</v>
      </c>
      <c r="U58" t="str">
        <f t="shared" si="5"/>
        <v>Sale</v>
      </c>
      <c r="V58" t="str">
        <f t="shared" si="6"/>
        <v>OK</v>
      </c>
      <c r="W58" s="16">
        <f t="shared" si="7"/>
        <v>4066.2000000000003</v>
      </c>
      <c r="X58" s="16">
        <f t="shared" si="8"/>
        <v>3406.14</v>
      </c>
      <c r="Y58" s="16">
        <f t="shared" si="12"/>
        <v>660.0600000000004</v>
      </c>
      <c r="Z58" s="16">
        <f t="shared" si="9"/>
        <v>0.16232846392208949</v>
      </c>
      <c r="AD58" s="8"/>
    </row>
    <row r="59" spans="1:30" x14ac:dyDescent="0.35">
      <c r="A59" t="s">
        <v>261</v>
      </c>
      <c r="B59" s="1">
        <v>45602</v>
      </c>
      <c r="C59" s="21">
        <f t="shared" si="3"/>
        <v>11</v>
      </c>
      <c r="D59" s="19">
        <f t="shared" si="10"/>
        <v>45597</v>
      </c>
      <c r="E59" s="21">
        <f t="shared" si="4"/>
        <v>2024</v>
      </c>
      <c r="F59" s="3">
        <f t="shared" si="11"/>
        <v>45597</v>
      </c>
      <c r="G59" t="s">
        <v>263</v>
      </c>
      <c r="H59" t="s">
        <v>971</v>
      </c>
      <c r="I59" t="s">
        <v>824</v>
      </c>
      <c r="J59" t="s">
        <v>1023</v>
      </c>
      <c r="K59" t="s">
        <v>40</v>
      </c>
      <c r="L59" t="s">
        <v>62</v>
      </c>
      <c r="M59" t="s">
        <v>54</v>
      </c>
      <c r="N59" t="s">
        <v>74</v>
      </c>
      <c r="O59" s="5">
        <v>13</v>
      </c>
      <c r="P59" s="16">
        <v>1482.68</v>
      </c>
      <c r="Q59" s="2">
        <v>0.05</v>
      </c>
      <c r="R59" s="16">
        <v>652.71</v>
      </c>
      <c r="S59" t="s">
        <v>35</v>
      </c>
      <c r="T59" t="s">
        <v>23</v>
      </c>
      <c r="U59" t="str">
        <f t="shared" si="5"/>
        <v>Sale</v>
      </c>
      <c r="V59" t="str">
        <f t="shared" si="6"/>
        <v>OK</v>
      </c>
      <c r="W59" s="16">
        <f t="shared" si="7"/>
        <v>18311.097999999998</v>
      </c>
      <c r="X59" s="16">
        <f t="shared" si="8"/>
        <v>8485.23</v>
      </c>
      <c r="Y59" s="16">
        <f t="shared" si="12"/>
        <v>9825.8679999999986</v>
      </c>
      <c r="Z59" s="16">
        <f t="shared" si="9"/>
        <v>0.53660725315325164</v>
      </c>
      <c r="AD59" s="8"/>
    </row>
    <row r="60" spans="1:30" x14ac:dyDescent="0.35">
      <c r="A60" t="s">
        <v>265</v>
      </c>
      <c r="B60" s="1">
        <v>45561</v>
      </c>
      <c r="C60" s="21">
        <f t="shared" si="3"/>
        <v>9</v>
      </c>
      <c r="D60" s="19">
        <f t="shared" si="10"/>
        <v>45536</v>
      </c>
      <c r="E60" s="21">
        <f t="shared" si="4"/>
        <v>2024</v>
      </c>
      <c r="F60" s="3">
        <f t="shared" si="11"/>
        <v>45536</v>
      </c>
      <c r="G60" t="s">
        <v>97</v>
      </c>
      <c r="H60" t="s">
        <v>267</v>
      </c>
      <c r="I60" t="s">
        <v>801</v>
      </c>
      <c r="J60" t="s">
        <v>802</v>
      </c>
      <c r="K60" t="s">
        <v>47</v>
      </c>
      <c r="L60" t="s">
        <v>34</v>
      </c>
      <c r="M60" t="s">
        <v>54</v>
      </c>
      <c r="N60" t="s">
        <v>74</v>
      </c>
      <c r="O60" s="5">
        <v>3</v>
      </c>
      <c r="P60" s="16">
        <v>983.9</v>
      </c>
      <c r="Q60" s="2">
        <v>0.1</v>
      </c>
      <c r="R60" s="16">
        <v>470.55</v>
      </c>
      <c r="S60" t="s">
        <v>49</v>
      </c>
      <c r="T60" t="s">
        <v>23</v>
      </c>
      <c r="U60" t="str">
        <f t="shared" si="5"/>
        <v>Sale</v>
      </c>
      <c r="V60" t="str">
        <f t="shared" si="6"/>
        <v>OK</v>
      </c>
      <c r="W60" s="16">
        <f t="shared" si="7"/>
        <v>2656.5299999999997</v>
      </c>
      <c r="X60" s="16">
        <f t="shared" si="8"/>
        <v>1411.65</v>
      </c>
      <c r="Y60" s="16">
        <f t="shared" si="12"/>
        <v>1244.8799999999997</v>
      </c>
      <c r="Z60" s="16">
        <f t="shared" si="9"/>
        <v>0.4686113087373377</v>
      </c>
      <c r="AD60" s="8"/>
    </row>
    <row r="61" spans="1:30" x14ac:dyDescent="0.35">
      <c r="A61" t="s">
        <v>268</v>
      </c>
      <c r="B61" s="1">
        <v>45721</v>
      </c>
      <c r="C61" s="21">
        <f t="shared" si="3"/>
        <v>3</v>
      </c>
      <c r="D61" s="19">
        <f t="shared" si="10"/>
        <v>45717</v>
      </c>
      <c r="E61" s="21">
        <f t="shared" si="4"/>
        <v>2025</v>
      </c>
      <c r="F61" s="3">
        <f t="shared" si="11"/>
        <v>45717</v>
      </c>
      <c r="G61" t="s">
        <v>106</v>
      </c>
      <c r="H61" t="s">
        <v>269</v>
      </c>
      <c r="I61" t="s">
        <v>803</v>
      </c>
      <c r="J61" t="s">
        <v>804</v>
      </c>
      <c r="K61" t="s">
        <v>17</v>
      </c>
      <c r="L61" t="s">
        <v>94</v>
      </c>
      <c r="M61" t="s">
        <v>28</v>
      </c>
      <c r="N61" t="s">
        <v>63</v>
      </c>
      <c r="O61" s="5">
        <v>13</v>
      </c>
      <c r="P61" s="16">
        <v>813.82</v>
      </c>
      <c r="Q61" s="2">
        <v>0.2</v>
      </c>
      <c r="R61" s="16">
        <v>236.3</v>
      </c>
      <c r="S61" t="s">
        <v>49</v>
      </c>
      <c r="T61" t="s">
        <v>23</v>
      </c>
      <c r="U61" t="str">
        <f t="shared" si="5"/>
        <v>Sale</v>
      </c>
      <c r="V61" t="str">
        <f t="shared" si="6"/>
        <v>OK</v>
      </c>
      <c r="W61" s="16">
        <f t="shared" si="7"/>
        <v>8463.728000000001</v>
      </c>
      <c r="X61" s="16">
        <f t="shared" si="8"/>
        <v>3071.9</v>
      </c>
      <c r="Y61" s="16">
        <f t="shared" si="12"/>
        <v>5391.8280000000013</v>
      </c>
      <c r="Z61" s="16">
        <f t="shared" si="9"/>
        <v>0.63705119068098603</v>
      </c>
      <c r="AD61" s="8"/>
    </row>
    <row r="62" spans="1:30" x14ac:dyDescent="0.35">
      <c r="A62" t="s">
        <v>270</v>
      </c>
      <c r="B62" s="1">
        <v>45647</v>
      </c>
      <c r="C62" s="21">
        <f t="shared" si="3"/>
        <v>12</v>
      </c>
      <c r="D62" s="19">
        <f t="shared" si="10"/>
        <v>45627</v>
      </c>
      <c r="E62" s="21">
        <f t="shared" si="4"/>
        <v>2024</v>
      </c>
      <c r="F62" s="3">
        <f t="shared" si="11"/>
        <v>45627</v>
      </c>
      <c r="G62" t="s">
        <v>272</v>
      </c>
      <c r="H62" t="s">
        <v>273</v>
      </c>
      <c r="I62" t="s">
        <v>986</v>
      </c>
      <c r="J62" t="s">
        <v>1024</v>
      </c>
      <c r="K62" t="s">
        <v>40</v>
      </c>
      <c r="L62" t="s">
        <v>18</v>
      </c>
      <c r="M62" t="s">
        <v>54</v>
      </c>
      <c r="N62" t="s">
        <v>74</v>
      </c>
      <c r="O62" s="5">
        <v>-1</v>
      </c>
      <c r="P62" s="16">
        <v>1195.23</v>
      </c>
      <c r="Q62" s="2">
        <v>0.05</v>
      </c>
      <c r="R62" s="16">
        <v>376.09</v>
      </c>
      <c r="S62" t="s">
        <v>22</v>
      </c>
      <c r="T62" t="s">
        <v>23</v>
      </c>
      <c r="U62" t="str">
        <f t="shared" si="5"/>
        <v>Return</v>
      </c>
      <c r="V62" t="str">
        <f t="shared" si="6"/>
        <v>OK</v>
      </c>
      <c r="W62" s="16">
        <f t="shared" si="7"/>
        <v>-1135.4684999999999</v>
      </c>
      <c r="X62" s="16">
        <f t="shared" si="8"/>
        <v>-376.09</v>
      </c>
      <c r="Y62" s="16">
        <f t="shared" si="12"/>
        <v>-759.37850000000003</v>
      </c>
      <c r="Z62" s="16">
        <f t="shared" si="9"/>
        <v>0.66877989129597171</v>
      </c>
      <c r="AD62" s="8"/>
    </row>
    <row r="63" spans="1:30" x14ac:dyDescent="0.35">
      <c r="A63" t="s">
        <v>274</v>
      </c>
      <c r="B63" s="1">
        <v>45609</v>
      </c>
      <c r="C63" s="21">
        <f t="shared" si="3"/>
        <v>11</v>
      </c>
      <c r="D63" s="19">
        <f t="shared" si="10"/>
        <v>45597</v>
      </c>
      <c r="E63" s="21">
        <f t="shared" si="4"/>
        <v>2024</v>
      </c>
      <c r="F63" s="3">
        <f t="shared" si="11"/>
        <v>45597</v>
      </c>
      <c r="G63" t="s">
        <v>276</v>
      </c>
      <c r="H63" t="s">
        <v>277</v>
      </c>
      <c r="I63" t="s">
        <v>805</v>
      </c>
      <c r="J63" t="s">
        <v>806</v>
      </c>
      <c r="K63" t="s">
        <v>40</v>
      </c>
      <c r="L63" t="s">
        <v>103</v>
      </c>
      <c r="M63" t="s">
        <v>28</v>
      </c>
      <c r="N63" t="s">
        <v>63</v>
      </c>
      <c r="O63" s="5">
        <v>10</v>
      </c>
      <c r="P63" s="16">
        <v>694.42</v>
      </c>
      <c r="Q63" s="2">
        <v>0</v>
      </c>
      <c r="R63" s="16">
        <v>256.82</v>
      </c>
      <c r="S63" t="s">
        <v>1058</v>
      </c>
      <c r="T63" t="s">
        <v>23</v>
      </c>
      <c r="U63" t="str">
        <f t="shared" si="5"/>
        <v>Sale</v>
      </c>
      <c r="V63" t="str">
        <f t="shared" si="6"/>
        <v>OK</v>
      </c>
      <c r="W63" s="16">
        <f t="shared" si="7"/>
        <v>6944.2</v>
      </c>
      <c r="X63" s="16">
        <f t="shared" si="8"/>
        <v>2568.1999999999998</v>
      </c>
      <c r="Y63" s="16">
        <f t="shared" si="12"/>
        <v>4376</v>
      </c>
      <c r="Z63" s="16">
        <f t="shared" si="9"/>
        <v>0.63016618184960116</v>
      </c>
      <c r="AD63" s="8"/>
    </row>
    <row r="64" spans="1:30" x14ac:dyDescent="0.35">
      <c r="A64" t="s">
        <v>278</v>
      </c>
      <c r="B64" s="1">
        <v>45619</v>
      </c>
      <c r="C64" s="21">
        <f t="shared" si="3"/>
        <v>11</v>
      </c>
      <c r="D64" s="19">
        <f t="shared" si="10"/>
        <v>45597</v>
      </c>
      <c r="E64" s="21">
        <f t="shared" si="4"/>
        <v>2024</v>
      </c>
      <c r="F64" s="3">
        <f t="shared" si="11"/>
        <v>45597</v>
      </c>
      <c r="G64" t="s">
        <v>32</v>
      </c>
      <c r="H64" t="s">
        <v>280</v>
      </c>
      <c r="I64" t="s">
        <v>807</v>
      </c>
      <c r="J64" t="s">
        <v>776</v>
      </c>
      <c r="K64" t="s">
        <v>18</v>
      </c>
      <c r="L64" t="s">
        <v>34</v>
      </c>
      <c r="M64" t="s">
        <v>28</v>
      </c>
      <c r="N64" t="s">
        <v>63</v>
      </c>
      <c r="O64" s="5">
        <v>8</v>
      </c>
      <c r="P64" s="16">
        <v>302.83</v>
      </c>
      <c r="Q64" s="2">
        <v>0.05</v>
      </c>
      <c r="R64" s="16">
        <v>484.24</v>
      </c>
      <c r="S64" t="s">
        <v>35</v>
      </c>
      <c r="T64" t="s">
        <v>23</v>
      </c>
      <c r="U64" t="str">
        <f t="shared" si="5"/>
        <v>Sale</v>
      </c>
      <c r="V64" t="str">
        <f t="shared" si="6"/>
        <v>OK</v>
      </c>
      <c r="W64" s="16">
        <f t="shared" si="7"/>
        <v>2301.5079999999998</v>
      </c>
      <c r="X64" s="16">
        <f t="shared" si="8"/>
        <v>3873.92</v>
      </c>
      <c r="Y64" s="16">
        <f t="shared" si="12"/>
        <v>-1572.4120000000003</v>
      </c>
      <c r="Z64" s="16">
        <f t="shared" si="9"/>
        <v>-0.68320944354744817</v>
      </c>
      <c r="AD64" s="8"/>
    </row>
    <row r="65" spans="1:30" x14ac:dyDescent="0.35">
      <c r="A65" t="s">
        <v>281</v>
      </c>
      <c r="B65" s="1">
        <v>45413</v>
      </c>
      <c r="C65" s="21">
        <f t="shared" si="3"/>
        <v>5</v>
      </c>
      <c r="D65" s="19">
        <f t="shared" si="10"/>
        <v>45413</v>
      </c>
      <c r="E65" s="21">
        <f t="shared" si="4"/>
        <v>2024</v>
      </c>
      <c r="F65" s="3">
        <f t="shared" si="11"/>
        <v>45413</v>
      </c>
      <c r="G65" t="s">
        <v>283</v>
      </c>
      <c r="H65" t="s">
        <v>284</v>
      </c>
      <c r="I65" t="s">
        <v>808</v>
      </c>
      <c r="J65" t="s">
        <v>809</v>
      </c>
      <c r="K65" t="s">
        <v>768</v>
      </c>
      <c r="L65" t="s">
        <v>18</v>
      </c>
      <c r="M65" t="s">
        <v>54</v>
      </c>
      <c r="N65" t="s">
        <v>55</v>
      </c>
      <c r="O65" s="5">
        <v>12</v>
      </c>
      <c r="P65" s="16">
        <v>1366.37</v>
      </c>
      <c r="Q65" s="2">
        <v>0.1</v>
      </c>
      <c r="R65" s="16">
        <v>833.17</v>
      </c>
      <c r="S65" t="s">
        <v>22</v>
      </c>
      <c r="T65" t="s">
        <v>23</v>
      </c>
      <c r="U65" t="str">
        <f t="shared" si="5"/>
        <v>Sale</v>
      </c>
      <c r="V65" t="str">
        <f t="shared" si="6"/>
        <v>OK</v>
      </c>
      <c r="W65" s="16">
        <f t="shared" si="7"/>
        <v>14756.795999999998</v>
      </c>
      <c r="X65" s="16">
        <f t="shared" si="8"/>
        <v>9998.0399999999991</v>
      </c>
      <c r="Y65" s="16">
        <f t="shared" si="12"/>
        <v>4758.7559999999994</v>
      </c>
      <c r="Z65" s="16">
        <f t="shared" si="9"/>
        <v>0.32247894461643301</v>
      </c>
      <c r="AD65" s="8"/>
    </row>
    <row r="66" spans="1:30" x14ac:dyDescent="0.35">
      <c r="A66" t="s">
        <v>285</v>
      </c>
      <c r="B66" s="1">
        <v>45754</v>
      </c>
      <c r="C66" s="21">
        <f t="shared" si="3"/>
        <v>4</v>
      </c>
      <c r="D66" s="19">
        <f t="shared" ref="D66:D97" si="13">DATE(YEAR(B66),MONTH(B66),DAY(1))</f>
        <v>45748</v>
      </c>
      <c r="E66" s="21">
        <f t="shared" si="4"/>
        <v>2025</v>
      </c>
      <c r="F66" s="3">
        <f t="shared" ref="F66:F97" si="14">DATE(YEAR(B66),MONTH(B66),DAY(1))</f>
        <v>45748</v>
      </c>
      <c r="G66" t="s">
        <v>287</v>
      </c>
      <c r="H66" t="s">
        <v>288</v>
      </c>
      <c r="I66" t="s">
        <v>810</v>
      </c>
      <c r="J66" t="s">
        <v>811</v>
      </c>
      <c r="K66" t="s">
        <v>40</v>
      </c>
      <c r="L66" t="s">
        <v>18</v>
      </c>
      <c r="M66" t="s">
        <v>19</v>
      </c>
      <c r="N66" t="s">
        <v>20</v>
      </c>
      <c r="O66" s="5">
        <v>13</v>
      </c>
      <c r="P66" s="16">
        <v>871.46</v>
      </c>
      <c r="Q66" s="2">
        <v>0.1</v>
      </c>
      <c r="R66" s="16">
        <v>91.95</v>
      </c>
      <c r="S66" t="s">
        <v>22</v>
      </c>
      <c r="T66" t="s">
        <v>23</v>
      </c>
      <c r="U66" t="str">
        <f t="shared" si="5"/>
        <v>Sale</v>
      </c>
      <c r="V66" t="str">
        <f t="shared" si="6"/>
        <v>OK</v>
      </c>
      <c r="W66" s="16">
        <f t="shared" si="7"/>
        <v>10196.082</v>
      </c>
      <c r="X66" s="16">
        <f t="shared" si="8"/>
        <v>1195.3500000000001</v>
      </c>
      <c r="Y66" s="16">
        <f t="shared" ref="Y66:Y97" si="15">W66-X66</f>
        <v>9000.732</v>
      </c>
      <c r="Z66" s="16">
        <f t="shared" si="9"/>
        <v>0.88276379103267311</v>
      </c>
      <c r="AD66" s="8"/>
    </row>
    <row r="67" spans="1:30" x14ac:dyDescent="0.35">
      <c r="A67" t="s">
        <v>289</v>
      </c>
      <c r="B67" s="1">
        <v>45759</v>
      </c>
      <c r="C67" s="21">
        <f t="shared" ref="C67:C130" si="16">MONTH(B67)</f>
        <v>4</v>
      </c>
      <c r="D67" s="19">
        <f t="shared" si="13"/>
        <v>45748</v>
      </c>
      <c r="E67" s="21">
        <f t="shared" ref="E67:E130" si="17">YEAR(B67)</f>
        <v>2025</v>
      </c>
      <c r="F67" s="3">
        <f t="shared" si="14"/>
        <v>45748</v>
      </c>
      <c r="G67" t="s">
        <v>97</v>
      </c>
      <c r="H67" t="s">
        <v>291</v>
      </c>
      <c r="I67" t="s">
        <v>812</v>
      </c>
      <c r="J67" t="s">
        <v>790</v>
      </c>
      <c r="K67" t="s">
        <v>40</v>
      </c>
      <c r="L67" t="s">
        <v>103</v>
      </c>
      <c r="M67" t="s">
        <v>28</v>
      </c>
      <c r="N67" t="s">
        <v>153</v>
      </c>
      <c r="O67" s="5">
        <v>3</v>
      </c>
      <c r="P67" s="16">
        <v>1237.9100000000001</v>
      </c>
      <c r="Q67" s="2">
        <v>0.2</v>
      </c>
      <c r="R67" s="16">
        <v>806.88</v>
      </c>
      <c r="S67" t="s">
        <v>22</v>
      </c>
      <c r="T67" t="s">
        <v>23</v>
      </c>
      <c r="U67" t="str">
        <f t="shared" ref="U67:U130" si="18">IF(O67&lt;0,"Return","Sale")</f>
        <v>Sale</v>
      </c>
      <c r="V67" t="str">
        <f t="shared" ref="V67:V130" si="19">IF(AND(T67="Cancelled",U67="Sale"),"Check","OK")</f>
        <v>OK</v>
      </c>
      <c r="W67" s="16">
        <f t="shared" ref="W67:W130" si="20">(P67 * O67) * (1 - Q67)</f>
        <v>2970.9840000000004</v>
      </c>
      <c r="X67" s="16">
        <f t="shared" ref="X67:X130" si="21">R67*O67</f>
        <v>2420.64</v>
      </c>
      <c r="Y67" s="16">
        <f t="shared" si="15"/>
        <v>550.34400000000051</v>
      </c>
      <c r="Z67" s="16">
        <f t="shared" ref="Z67:Z130" si="22">IFERROR(Y67/W67, " ")</f>
        <v>0.18523963777657518</v>
      </c>
      <c r="AD67" s="8"/>
    </row>
    <row r="68" spans="1:30" x14ac:dyDescent="0.35">
      <c r="A68" t="s">
        <v>292</v>
      </c>
      <c r="B68" s="1">
        <v>45479</v>
      </c>
      <c r="C68" s="21">
        <f t="shared" si="16"/>
        <v>7</v>
      </c>
      <c r="D68" s="19">
        <f t="shared" si="13"/>
        <v>45474</v>
      </c>
      <c r="E68" s="21">
        <f t="shared" si="17"/>
        <v>2024</v>
      </c>
      <c r="F68" s="3">
        <f t="shared" si="14"/>
        <v>45474</v>
      </c>
      <c r="G68" t="s">
        <v>294</v>
      </c>
      <c r="H68" t="s">
        <v>295</v>
      </c>
      <c r="I68" t="s">
        <v>987</v>
      </c>
      <c r="J68" t="s">
        <v>1025</v>
      </c>
      <c r="K68" t="s">
        <v>768</v>
      </c>
      <c r="L68" t="s">
        <v>103</v>
      </c>
      <c r="M68" t="s">
        <v>54</v>
      </c>
      <c r="N68" t="s">
        <v>68</v>
      </c>
      <c r="O68" s="5">
        <v>-7</v>
      </c>
      <c r="P68" s="16">
        <v>807.18</v>
      </c>
      <c r="Q68" s="2">
        <v>0.2</v>
      </c>
      <c r="R68" s="16">
        <v>673.48</v>
      </c>
      <c r="S68" t="s">
        <v>22</v>
      </c>
      <c r="T68" t="s">
        <v>56</v>
      </c>
      <c r="U68" t="str">
        <f t="shared" si="18"/>
        <v>Return</v>
      </c>
      <c r="V68" t="str">
        <f t="shared" si="19"/>
        <v>OK</v>
      </c>
      <c r="W68" s="16">
        <f t="shared" si="20"/>
        <v>-4520.2079999999996</v>
      </c>
      <c r="X68" s="16">
        <f t="shared" si="21"/>
        <v>-4714.3600000000006</v>
      </c>
      <c r="Y68" s="16">
        <f t="shared" si="15"/>
        <v>194.15200000000095</v>
      </c>
      <c r="Z68" s="16">
        <f t="shared" si="22"/>
        <v>-4.2952005748408253E-2</v>
      </c>
      <c r="AD68" s="8"/>
    </row>
    <row r="69" spans="1:30" x14ac:dyDescent="0.35">
      <c r="A69" t="s">
        <v>296</v>
      </c>
      <c r="B69" s="1">
        <v>45760</v>
      </c>
      <c r="C69" s="21">
        <f t="shared" si="16"/>
        <v>4</v>
      </c>
      <c r="D69" s="19">
        <f t="shared" si="13"/>
        <v>45748</v>
      </c>
      <c r="E69" s="21">
        <f t="shared" si="17"/>
        <v>2025</v>
      </c>
      <c r="F69" s="3">
        <f t="shared" si="14"/>
        <v>45748</v>
      </c>
      <c r="G69" t="s">
        <v>298</v>
      </c>
      <c r="H69" t="s">
        <v>299</v>
      </c>
      <c r="I69" t="s">
        <v>813</v>
      </c>
      <c r="J69" t="s">
        <v>814</v>
      </c>
      <c r="K69" t="s">
        <v>18</v>
      </c>
      <c r="L69" t="s">
        <v>94</v>
      </c>
      <c r="M69" t="s">
        <v>19</v>
      </c>
      <c r="N69" t="s">
        <v>158</v>
      </c>
      <c r="O69" s="5">
        <v>11</v>
      </c>
      <c r="P69" s="16">
        <v>1364.53</v>
      </c>
      <c r="Q69" s="2">
        <v>0.05</v>
      </c>
      <c r="R69" s="16">
        <v>409.48</v>
      </c>
      <c r="S69" t="s">
        <v>49</v>
      </c>
      <c r="T69" t="s">
        <v>23</v>
      </c>
      <c r="U69" t="str">
        <f t="shared" si="18"/>
        <v>Sale</v>
      </c>
      <c r="V69" t="str">
        <f t="shared" si="19"/>
        <v>OK</v>
      </c>
      <c r="W69" s="16">
        <f t="shared" si="20"/>
        <v>14259.3385</v>
      </c>
      <c r="X69" s="16">
        <f t="shared" si="21"/>
        <v>4504.2800000000007</v>
      </c>
      <c r="Y69" s="16">
        <f t="shared" si="15"/>
        <v>9755.0584999999992</v>
      </c>
      <c r="Z69" s="16">
        <f t="shared" si="22"/>
        <v>0.68411718397736332</v>
      </c>
      <c r="AD69" s="8"/>
    </row>
    <row r="70" spans="1:30" x14ac:dyDescent="0.35">
      <c r="A70" t="s">
        <v>300</v>
      </c>
      <c r="B70" s="1">
        <v>45490</v>
      </c>
      <c r="C70" s="21">
        <f t="shared" si="16"/>
        <v>7</v>
      </c>
      <c r="D70" s="19">
        <f t="shared" si="13"/>
        <v>45474</v>
      </c>
      <c r="E70" s="21">
        <f t="shared" si="17"/>
        <v>2024</v>
      </c>
      <c r="F70" s="3">
        <f t="shared" si="14"/>
        <v>45474</v>
      </c>
      <c r="G70" t="s">
        <v>302</v>
      </c>
      <c r="H70" t="s">
        <v>303</v>
      </c>
      <c r="I70" t="s">
        <v>815</v>
      </c>
      <c r="J70" t="s">
        <v>816</v>
      </c>
      <c r="K70" t="s">
        <v>40</v>
      </c>
      <c r="L70" t="s">
        <v>62</v>
      </c>
      <c r="M70" t="s">
        <v>19</v>
      </c>
      <c r="N70" t="s">
        <v>135</v>
      </c>
      <c r="O70" s="5">
        <v>12</v>
      </c>
      <c r="P70" s="16">
        <v>812.59</v>
      </c>
      <c r="Q70" s="2">
        <v>0.1</v>
      </c>
      <c r="R70" s="16">
        <v>727.15</v>
      </c>
      <c r="S70" t="s">
        <v>1058</v>
      </c>
      <c r="T70" t="s">
        <v>23</v>
      </c>
      <c r="U70" t="str">
        <f t="shared" si="18"/>
        <v>Sale</v>
      </c>
      <c r="V70" t="str">
        <f t="shared" si="19"/>
        <v>OK</v>
      </c>
      <c r="W70" s="16">
        <f t="shared" si="20"/>
        <v>8775.9719999999998</v>
      </c>
      <c r="X70" s="16">
        <f t="shared" si="21"/>
        <v>8725.7999999999993</v>
      </c>
      <c r="Y70" s="16">
        <f t="shared" si="15"/>
        <v>50.17200000000048</v>
      </c>
      <c r="Z70" s="16">
        <f t="shared" si="22"/>
        <v>5.7169735728419008E-3</v>
      </c>
      <c r="AD70" s="8"/>
    </row>
    <row r="71" spans="1:30" x14ac:dyDescent="0.35">
      <c r="A71" t="s">
        <v>304</v>
      </c>
      <c r="B71" s="1">
        <v>45403</v>
      </c>
      <c r="C71" s="21">
        <f t="shared" si="16"/>
        <v>4</v>
      </c>
      <c r="D71" s="19">
        <f t="shared" si="13"/>
        <v>45383</v>
      </c>
      <c r="E71" s="21">
        <f t="shared" si="17"/>
        <v>2024</v>
      </c>
      <c r="F71" s="3">
        <f t="shared" si="14"/>
        <v>45383</v>
      </c>
      <c r="G71" t="s">
        <v>306</v>
      </c>
      <c r="H71" t="s">
        <v>307</v>
      </c>
      <c r="I71" t="s">
        <v>988</v>
      </c>
      <c r="J71" t="s">
        <v>861</v>
      </c>
      <c r="K71" t="s">
        <v>18</v>
      </c>
      <c r="L71" t="s">
        <v>18</v>
      </c>
      <c r="M71" t="s">
        <v>19</v>
      </c>
      <c r="N71" t="s">
        <v>158</v>
      </c>
      <c r="O71" s="5">
        <v>14</v>
      </c>
      <c r="P71" s="16">
        <v>1471.49</v>
      </c>
      <c r="Q71" s="2">
        <v>0.2</v>
      </c>
      <c r="R71" s="16">
        <v>901.89</v>
      </c>
      <c r="S71" t="s">
        <v>49</v>
      </c>
      <c r="T71" t="s">
        <v>56</v>
      </c>
      <c r="U71" t="str">
        <f t="shared" si="18"/>
        <v>Sale</v>
      </c>
      <c r="V71" t="str">
        <f t="shared" si="19"/>
        <v>Check</v>
      </c>
      <c r="W71" s="16">
        <f t="shared" si="20"/>
        <v>16480.688000000002</v>
      </c>
      <c r="X71" s="16">
        <f t="shared" si="21"/>
        <v>12626.46</v>
      </c>
      <c r="Y71" s="16">
        <f t="shared" si="15"/>
        <v>3854.2280000000028</v>
      </c>
      <c r="Z71" s="16">
        <f t="shared" si="22"/>
        <v>0.23386329502748929</v>
      </c>
      <c r="AD71" s="8"/>
    </row>
    <row r="72" spans="1:30" x14ac:dyDescent="0.35">
      <c r="A72" t="s">
        <v>308</v>
      </c>
      <c r="B72" s="1">
        <v>45620</v>
      </c>
      <c r="C72" s="21">
        <f t="shared" si="16"/>
        <v>11</v>
      </c>
      <c r="D72" s="19">
        <f t="shared" si="13"/>
        <v>45597</v>
      </c>
      <c r="E72" s="21">
        <f t="shared" si="17"/>
        <v>2024</v>
      </c>
      <c r="F72" s="3">
        <f t="shared" si="14"/>
        <v>45597</v>
      </c>
      <c r="G72" t="s">
        <v>310</v>
      </c>
      <c r="H72" t="s">
        <v>311</v>
      </c>
      <c r="I72" t="s">
        <v>817</v>
      </c>
      <c r="J72" t="s">
        <v>818</v>
      </c>
      <c r="K72" t="s">
        <v>83</v>
      </c>
      <c r="L72" t="s">
        <v>18</v>
      </c>
      <c r="M72" t="s">
        <v>19</v>
      </c>
      <c r="N72" t="s">
        <v>135</v>
      </c>
      <c r="O72" s="5">
        <v>1</v>
      </c>
      <c r="P72" s="16">
        <v>369.14</v>
      </c>
      <c r="Q72" s="2">
        <v>0</v>
      </c>
      <c r="R72" s="16">
        <v>565.45000000000005</v>
      </c>
      <c r="S72" t="s">
        <v>35</v>
      </c>
      <c r="T72" t="s">
        <v>23</v>
      </c>
      <c r="U72" t="str">
        <f t="shared" si="18"/>
        <v>Sale</v>
      </c>
      <c r="V72" t="str">
        <f t="shared" si="19"/>
        <v>OK</v>
      </c>
      <c r="W72" s="16">
        <f t="shared" si="20"/>
        <v>369.14</v>
      </c>
      <c r="X72" s="16">
        <f t="shared" si="21"/>
        <v>565.45000000000005</v>
      </c>
      <c r="Y72" s="16">
        <f t="shared" si="15"/>
        <v>-196.31000000000006</v>
      </c>
      <c r="Z72" s="16">
        <f t="shared" si="22"/>
        <v>-0.53180365173105071</v>
      </c>
      <c r="AD72" s="8"/>
    </row>
    <row r="73" spans="1:30" x14ac:dyDescent="0.35">
      <c r="A73" t="s">
        <v>312</v>
      </c>
      <c r="B73" s="1">
        <v>45433</v>
      </c>
      <c r="C73" s="21">
        <f t="shared" si="16"/>
        <v>5</v>
      </c>
      <c r="D73" s="19">
        <f t="shared" si="13"/>
        <v>45413</v>
      </c>
      <c r="E73" s="21">
        <f t="shared" si="17"/>
        <v>2024</v>
      </c>
      <c r="F73" s="3">
        <f t="shared" si="14"/>
        <v>45413</v>
      </c>
      <c r="G73" t="s">
        <v>314</v>
      </c>
      <c r="H73" t="s">
        <v>315</v>
      </c>
      <c r="I73" t="s">
        <v>819</v>
      </c>
      <c r="J73" t="s">
        <v>820</v>
      </c>
      <c r="K73" t="s">
        <v>83</v>
      </c>
      <c r="L73" t="s">
        <v>62</v>
      </c>
      <c r="M73" t="s">
        <v>28</v>
      </c>
      <c r="N73" t="s">
        <v>29</v>
      </c>
      <c r="O73" s="5">
        <v>3</v>
      </c>
      <c r="P73" s="16">
        <v>1198.78</v>
      </c>
      <c r="Q73" s="2">
        <v>0.05</v>
      </c>
      <c r="R73" s="16">
        <v>866.71</v>
      </c>
      <c r="S73" t="s">
        <v>35</v>
      </c>
      <c r="T73" t="s">
        <v>23</v>
      </c>
      <c r="U73" t="str">
        <f t="shared" si="18"/>
        <v>Sale</v>
      </c>
      <c r="V73" t="str">
        <f t="shared" si="19"/>
        <v>OK</v>
      </c>
      <c r="W73" s="16">
        <f t="shared" si="20"/>
        <v>3416.5230000000001</v>
      </c>
      <c r="X73" s="16">
        <f t="shared" si="21"/>
        <v>2600.13</v>
      </c>
      <c r="Y73" s="16">
        <f t="shared" si="15"/>
        <v>816.39300000000003</v>
      </c>
      <c r="Z73" s="16">
        <f t="shared" si="22"/>
        <v>0.23895434042153382</v>
      </c>
      <c r="AD73" s="8"/>
    </row>
    <row r="74" spans="1:30" x14ac:dyDescent="0.35">
      <c r="A74" t="s">
        <v>316</v>
      </c>
      <c r="B74" s="1">
        <v>45318</v>
      </c>
      <c r="C74" s="21">
        <f t="shared" si="16"/>
        <v>1</v>
      </c>
      <c r="D74" s="19">
        <f t="shared" si="13"/>
        <v>45292</v>
      </c>
      <c r="E74" s="21">
        <f t="shared" si="17"/>
        <v>2024</v>
      </c>
      <c r="F74" s="3">
        <f t="shared" si="14"/>
        <v>45292</v>
      </c>
      <c r="G74" t="s">
        <v>204</v>
      </c>
      <c r="H74" t="s">
        <v>318</v>
      </c>
      <c r="I74" t="s">
        <v>808</v>
      </c>
      <c r="J74" t="s">
        <v>821</v>
      </c>
      <c r="K74" t="s">
        <v>83</v>
      </c>
      <c r="L74" t="s">
        <v>62</v>
      </c>
      <c r="M74" t="s">
        <v>19</v>
      </c>
      <c r="N74" t="s">
        <v>158</v>
      </c>
      <c r="O74" s="5">
        <v>7</v>
      </c>
      <c r="P74" s="16">
        <v>1119.77</v>
      </c>
      <c r="Q74" s="2">
        <v>0.05</v>
      </c>
      <c r="R74" s="16">
        <v>778.46</v>
      </c>
      <c r="S74" t="s">
        <v>49</v>
      </c>
      <c r="T74" t="s">
        <v>23</v>
      </c>
      <c r="U74" t="str">
        <f t="shared" si="18"/>
        <v>Sale</v>
      </c>
      <c r="V74" t="str">
        <f t="shared" si="19"/>
        <v>OK</v>
      </c>
      <c r="W74" s="16">
        <f t="shared" si="20"/>
        <v>7446.4704999999994</v>
      </c>
      <c r="X74" s="16">
        <f t="shared" si="21"/>
        <v>5449.22</v>
      </c>
      <c r="Y74" s="16">
        <f t="shared" si="15"/>
        <v>1997.2504999999992</v>
      </c>
      <c r="Z74" s="16">
        <f t="shared" si="22"/>
        <v>0.26821438425090105</v>
      </c>
      <c r="AD74" s="8"/>
    </row>
    <row r="75" spans="1:30" x14ac:dyDescent="0.35">
      <c r="A75" t="s">
        <v>319</v>
      </c>
      <c r="B75" s="1">
        <v>45785</v>
      </c>
      <c r="C75" s="21">
        <f t="shared" si="16"/>
        <v>5</v>
      </c>
      <c r="D75" s="19">
        <f t="shared" si="13"/>
        <v>45778</v>
      </c>
      <c r="E75" s="21">
        <f t="shared" si="17"/>
        <v>2025</v>
      </c>
      <c r="F75" s="3">
        <f t="shared" si="14"/>
        <v>45778</v>
      </c>
      <c r="G75" t="s">
        <v>86</v>
      </c>
      <c r="H75" t="s">
        <v>321</v>
      </c>
      <c r="I75" t="s">
        <v>759</v>
      </c>
      <c r="J75" t="s">
        <v>762</v>
      </c>
      <c r="K75" t="s">
        <v>768</v>
      </c>
      <c r="L75" t="s">
        <v>62</v>
      </c>
      <c r="M75" t="s">
        <v>54</v>
      </c>
      <c r="N75" t="s">
        <v>68</v>
      </c>
      <c r="O75" s="5">
        <v>8</v>
      </c>
      <c r="P75" s="16">
        <v>642.28</v>
      </c>
      <c r="Q75" s="2">
        <v>0.1</v>
      </c>
      <c r="R75" s="16">
        <v>712.98</v>
      </c>
      <c r="S75" t="s">
        <v>22</v>
      </c>
      <c r="T75" t="s">
        <v>23</v>
      </c>
      <c r="U75" t="str">
        <f t="shared" si="18"/>
        <v>Sale</v>
      </c>
      <c r="V75" t="str">
        <f t="shared" si="19"/>
        <v>OK</v>
      </c>
      <c r="W75" s="16">
        <f t="shared" si="20"/>
        <v>4624.4160000000002</v>
      </c>
      <c r="X75" s="16">
        <f t="shared" si="21"/>
        <v>5703.84</v>
      </c>
      <c r="Y75" s="16">
        <f t="shared" si="15"/>
        <v>-1079.424</v>
      </c>
      <c r="Z75" s="16">
        <f t="shared" si="22"/>
        <v>-0.23341844678333437</v>
      </c>
      <c r="AD75" s="8"/>
    </row>
    <row r="76" spans="1:30" x14ac:dyDescent="0.35">
      <c r="A76" t="s">
        <v>322</v>
      </c>
      <c r="B76" s="1">
        <v>45611</v>
      </c>
      <c r="C76" s="21">
        <f t="shared" si="16"/>
        <v>11</v>
      </c>
      <c r="D76" s="19">
        <f t="shared" si="13"/>
        <v>45597</v>
      </c>
      <c r="E76" s="21">
        <f t="shared" si="17"/>
        <v>2024</v>
      </c>
      <c r="F76" s="3">
        <f t="shared" si="14"/>
        <v>45597</v>
      </c>
      <c r="G76" t="s">
        <v>119</v>
      </c>
      <c r="H76" t="s">
        <v>324</v>
      </c>
      <c r="I76" t="s">
        <v>989</v>
      </c>
      <c r="J76" t="s">
        <v>1026</v>
      </c>
      <c r="K76" t="s">
        <v>17</v>
      </c>
      <c r="L76" t="s">
        <v>34</v>
      </c>
      <c r="M76" t="s">
        <v>19</v>
      </c>
      <c r="N76" t="s">
        <v>158</v>
      </c>
      <c r="O76" s="5">
        <v>6</v>
      </c>
      <c r="P76" s="16">
        <v>898.1</v>
      </c>
      <c r="Q76" s="2">
        <v>0.1</v>
      </c>
      <c r="R76" s="16">
        <v>506.54</v>
      </c>
      <c r="S76" t="s">
        <v>22</v>
      </c>
      <c r="T76" t="s">
        <v>56</v>
      </c>
      <c r="U76" t="str">
        <f t="shared" si="18"/>
        <v>Sale</v>
      </c>
      <c r="V76" t="str">
        <f t="shared" si="19"/>
        <v>Check</v>
      </c>
      <c r="W76" s="16">
        <f t="shared" si="20"/>
        <v>4849.7400000000007</v>
      </c>
      <c r="X76" s="16">
        <f t="shared" si="21"/>
        <v>3039.2400000000002</v>
      </c>
      <c r="Y76" s="16">
        <f t="shared" si="15"/>
        <v>1810.5000000000005</v>
      </c>
      <c r="Z76" s="16">
        <f t="shared" si="22"/>
        <v>0.37331898204852221</v>
      </c>
      <c r="AD76" s="8"/>
    </row>
    <row r="77" spans="1:30" x14ac:dyDescent="0.35">
      <c r="A77" t="s">
        <v>325</v>
      </c>
      <c r="B77" s="1">
        <v>45503</v>
      </c>
      <c r="C77" s="21">
        <f t="shared" si="16"/>
        <v>7</v>
      </c>
      <c r="D77" s="19">
        <f t="shared" si="13"/>
        <v>45474</v>
      </c>
      <c r="E77" s="21">
        <f t="shared" si="17"/>
        <v>2024</v>
      </c>
      <c r="F77" s="3">
        <f t="shared" si="14"/>
        <v>45474</v>
      </c>
      <c r="G77" t="s">
        <v>327</v>
      </c>
      <c r="H77" t="s">
        <v>328</v>
      </c>
      <c r="I77" t="s">
        <v>822</v>
      </c>
      <c r="J77" t="s">
        <v>823</v>
      </c>
      <c r="K77" t="s">
        <v>17</v>
      </c>
      <c r="L77" t="s">
        <v>103</v>
      </c>
      <c r="M77" t="s">
        <v>54</v>
      </c>
      <c r="N77" t="s">
        <v>74</v>
      </c>
      <c r="O77" s="5">
        <v>7</v>
      </c>
      <c r="P77" s="16">
        <v>472.26</v>
      </c>
      <c r="Q77" s="2">
        <v>0.05</v>
      </c>
      <c r="R77" s="16">
        <v>256.38</v>
      </c>
      <c r="S77" t="s">
        <v>49</v>
      </c>
      <c r="T77" t="s">
        <v>23</v>
      </c>
      <c r="U77" t="str">
        <f t="shared" si="18"/>
        <v>Sale</v>
      </c>
      <c r="V77" t="str">
        <f t="shared" si="19"/>
        <v>OK</v>
      </c>
      <c r="W77" s="16">
        <f t="shared" si="20"/>
        <v>3140.5289999999995</v>
      </c>
      <c r="X77" s="16">
        <f t="shared" si="21"/>
        <v>1794.6599999999999</v>
      </c>
      <c r="Y77" s="16">
        <f t="shared" si="15"/>
        <v>1345.8689999999997</v>
      </c>
      <c r="Z77" s="16">
        <f t="shared" si="22"/>
        <v>0.42854850249750914</v>
      </c>
      <c r="AD77" s="8"/>
    </row>
    <row r="78" spans="1:30" x14ac:dyDescent="0.35">
      <c r="A78" t="s">
        <v>329</v>
      </c>
      <c r="B78" s="1">
        <v>45673</v>
      </c>
      <c r="C78" s="21">
        <f t="shared" si="16"/>
        <v>1</v>
      </c>
      <c r="D78" s="19">
        <f t="shared" si="13"/>
        <v>45658</v>
      </c>
      <c r="E78" s="21">
        <f t="shared" si="17"/>
        <v>2025</v>
      </c>
      <c r="F78" s="3">
        <f t="shared" si="14"/>
        <v>45658</v>
      </c>
      <c r="G78" t="s">
        <v>306</v>
      </c>
      <c r="H78" t="s">
        <v>331</v>
      </c>
      <c r="I78" t="s">
        <v>824</v>
      </c>
      <c r="J78" t="s">
        <v>748</v>
      </c>
      <c r="K78" t="s">
        <v>47</v>
      </c>
      <c r="L78" t="s">
        <v>34</v>
      </c>
      <c r="M78" t="s">
        <v>54</v>
      </c>
      <c r="N78" t="s">
        <v>74</v>
      </c>
      <c r="O78" s="5">
        <v>9</v>
      </c>
      <c r="P78" s="16">
        <v>1435.15</v>
      </c>
      <c r="Q78" s="2">
        <v>0.1</v>
      </c>
      <c r="R78" s="16">
        <v>670.67</v>
      </c>
      <c r="S78" t="s">
        <v>49</v>
      </c>
      <c r="T78" t="s">
        <v>23</v>
      </c>
      <c r="U78" t="str">
        <f t="shared" si="18"/>
        <v>Sale</v>
      </c>
      <c r="V78" t="str">
        <f t="shared" si="19"/>
        <v>OK</v>
      </c>
      <c r="W78" s="16">
        <f t="shared" si="20"/>
        <v>11624.715</v>
      </c>
      <c r="X78" s="16">
        <f t="shared" si="21"/>
        <v>6036.03</v>
      </c>
      <c r="Y78" s="16">
        <f t="shared" si="15"/>
        <v>5588.6850000000004</v>
      </c>
      <c r="Z78" s="16">
        <f t="shared" si="22"/>
        <v>0.48075888312100556</v>
      </c>
      <c r="AD78" s="8"/>
    </row>
    <row r="79" spans="1:30" x14ac:dyDescent="0.35">
      <c r="A79" t="s">
        <v>332</v>
      </c>
      <c r="B79" s="1">
        <v>45472</v>
      </c>
      <c r="C79" s="21">
        <f t="shared" si="16"/>
        <v>6</v>
      </c>
      <c r="D79" s="19">
        <f t="shared" si="13"/>
        <v>45444</v>
      </c>
      <c r="E79" s="21">
        <f t="shared" si="17"/>
        <v>2024</v>
      </c>
      <c r="F79" s="3">
        <f t="shared" si="14"/>
        <v>45444</v>
      </c>
      <c r="G79" t="s">
        <v>334</v>
      </c>
      <c r="H79" t="s">
        <v>335</v>
      </c>
      <c r="I79" t="s">
        <v>825</v>
      </c>
      <c r="J79" t="s">
        <v>1027</v>
      </c>
      <c r="K79" t="s">
        <v>18</v>
      </c>
      <c r="L79" t="s">
        <v>62</v>
      </c>
      <c r="M79" t="s">
        <v>28</v>
      </c>
      <c r="N79" t="s">
        <v>63</v>
      </c>
      <c r="O79" s="5">
        <v>9</v>
      </c>
      <c r="P79" s="16">
        <v>986.82</v>
      </c>
      <c r="Q79" s="2">
        <v>0.05</v>
      </c>
      <c r="R79" s="16">
        <v>110</v>
      </c>
      <c r="S79" t="s">
        <v>22</v>
      </c>
      <c r="T79" t="s">
        <v>56</v>
      </c>
      <c r="U79" t="str">
        <f t="shared" si="18"/>
        <v>Sale</v>
      </c>
      <c r="V79" t="str">
        <f t="shared" si="19"/>
        <v>Check</v>
      </c>
      <c r="W79" s="16">
        <f t="shared" si="20"/>
        <v>8437.3109999999997</v>
      </c>
      <c r="X79" s="16">
        <f t="shared" si="21"/>
        <v>990</v>
      </c>
      <c r="Y79" s="16">
        <f t="shared" si="15"/>
        <v>7447.3109999999997</v>
      </c>
      <c r="Z79" s="16">
        <f t="shared" si="22"/>
        <v>0.8826640383411255</v>
      </c>
      <c r="AD79" s="8"/>
    </row>
    <row r="80" spans="1:30" x14ac:dyDescent="0.35">
      <c r="A80" t="s">
        <v>336</v>
      </c>
      <c r="B80" s="1">
        <v>45576</v>
      </c>
      <c r="C80" s="21">
        <f t="shared" si="16"/>
        <v>10</v>
      </c>
      <c r="D80" s="19">
        <f t="shared" si="13"/>
        <v>45566</v>
      </c>
      <c r="E80" s="21">
        <f t="shared" si="17"/>
        <v>2024</v>
      </c>
      <c r="F80" s="3">
        <f t="shared" si="14"/>
        <v>45566</v>
      </c>
      <c r="G80" t="s">
        <v>310</v>
      </c>
      <c r="H80" t="s">
        <v>972</v>
      </c>
      <c r="I80" t="s">
        <v>825</v>
      </c>
      <c r="J80" t="s">
        <v>773</v>
      </c>
      <c r="K80" t="s">
        <v>768</v>
      </c>
      <c r="L80" t="s">
        <v>41</v>
      </c>
      <c r="M80" t="s">
        <v>28</v>
      </c>
      <c r="N80" t="s">
        <v>153</v>
      </c>
      <c r="O80" s="5">
        <v>10</v>
      </c>
      <c r="P80" s="16">
        <v>1245.04</v>
      </c>
      <c r="Q80" s="2">
        <v>0.2</v>
      </c>
      <c r="R80" s="16">
        <v>182.06</v>
      </c>
      <c r="S80" t="s">
        <v>49</v>
      </c>
      <c r="T80" t="s">
        <v>23</v>
      </c>
      <c r="U80" t="str">
        <f t="shared" si="18"/>
        <v>Sale</v>
      </c>
      <c r="V80" t="str">
        <f t="shared" si="19"/>
        <v>OK</v>
      </c>
      <c r="W80" s="16">
        <f t="shared" si="20"/>
        <v>9960.32</v>
      </c>
      <c r="X80" s="16">
        <f t="shared" si="21"/>
        <v>1820.6</v>
      </c>
      <c r="Y80" s="16">
        <f t="shared" si="15"/>
        <v>8139.7199999999993</v>
      </c>
      <c r="Z80" s="16">
        <f t="shared" si="22"/>
        <v>0.81721470796119</v>
      </c>
      <c r="AD80" s="8"/>
    </row>
    <row r="81" spans="1:30" x14ac:dyDescent="0.35">
      <c r="A81" t="s">
        <v>339</v>
      </c>
      <c r="B81" s="1">
        <v>45327</v>
      </c>
      <c r="C81" s="21">
        <f t="shared" si="16"/>
        <v>2</v>
      </c>
      <c r="D81" s="19">
        <f t="shared" si="13"/>
        <v>45323</v>
      </c>
      <c r="E81" s="21">
        <f t="shared" si="17"/>
        <v>2024</v>
      </c>
      <c r="F81" s="3">
        <f t="shared" si="14"/>
        <v>45323</v>
      </c>
      <c r="G81" t="s">
        <v>97</v>
      </c>
      <c r="H81" t="s">
        <v>341</v>
      </c>
      <c r="I81" t="s">
        <v>826</v>
      </c>
      <c r="J81" t="s">
        <v>827</v>
      </c>
      <c r="K81" t="s">
        <v>18</v>
      </c>
      <c r="L81" t="s">
        <v>34</v>
      </c>
      <c r="M81" t="s">
        <v>19</v>
      </c>
      <c r="N81" t="s">
        <v>88</v>
      </c>
      <c r="O81" s="5">
        <v>11</v>
      </c>
      <c r="P81" s="16">
        <v>142.18</v>
      </c>
      <c r="Q81" s="2">
        <v>0.1</v>
      </c>
      <c r="R81" s="16">
        <v>377.44</v>
      </c>
      <c r="S81" t="s">
        <v>35</v>
      </c>
      <c r="T81" t="s">
        <v>23</v>
      </c>
      <c r="U81" t="str">
        <f t="shared" si="18"/>
        <v>Sale</v>
      </c>
      <c r="V81" t="str">
        <f t="shared" si="19"/>
        <v>OK</v>
      </c>
      <c r="W81" s="16">
        <f t="shared" si="20"/>
        <v>1407.5820000000001</v>
      </c>
      <c r="X81" s="16">
        <f t="shared" si="21"/>
        <v>4151.84</v>
      </c>
      <c r="Y81" s="16">
        <f t="shared" si="15"/>
        <v>-2744.2579999999998</v>
      </c>
      <c r="Z81" s="16">
        <f t="shared" si="22"/>
        <v>-1.9496256701208168</v>
      </c>
      <c r="AD81" s="8"/>
    </row>
    <row r="82" spans="1:30" x14ac:dyDescent="0.35">
      <c r="A82" t="s">
        <v>342</v>
      </c>
      <c r="B82" s="1">
        <v>45372</v>
      </c>
      <c r="C82" s="21">
        <f t="shared" si="16"/>
        <v>3</v>
      </c>
      <c r="D82" s="19">
        <f t="shared" si="13"/>
        <v>45352</v>
      </c>
      <c r="E82" s="21">
        <f t="shared" si="17"/>
        <v>2024</v>
      </c>
      <c r="F82" s="3">
        <f t="shared" si="14"/>
        <v>45352</v>
      </c>
      <c r="G82" t="s">
        <v>344</v>
      </c>
      <c r="H82" t="s">
        <v>345</v>
      </c>
      <c r="I82" t="s">
        <v>828</v>
      </c>
      <c r="J82" t="s">
        <v>829</v>
      </c>
      <c r="K82" t="s">
        <v>17</v>
      </c>
      <c r="L82" t="s">
        <v>41</v>
      </c>
      <c r="M82" t="s">
        <v>19</v>
      </c>
      <c r="N82" t="s">
        <v>135</v>
      </c>
      <c r="O82" s="5">
        <v>2</v>
      </c>
      <c r="P82" s="16">
        <v>994.6</v>
      </c>
      <c r="Q82" s="2">
        <v>0.1</v>
      </c>
      <c r="R82" s="16">
        <v>443.16</v>
      </c>
      <c r="S82" t="s">
        <v>1058</v>
      </c>
      <c r="T82" t="s">
        <v>23</v>
      </c>
      <c r="U82" t="str">
        <f t="shared" si="18"/>
        <v>Sale</v>
      </c>
      <c r="V82" t="str">
        <f t="shared" si="19"/>
        <v>OK</v>
      </c>
      <c r="W82" s="16">
        <f t="shared" si="20"/>
        <v>1790.28</v>
      </c>
      <c r="X82" s="16">
        <f t="shared" si="21"/>
        <v>886.32</v>
      </c>
      <c r="Y82" s="16">
        <f t="shared" si="15"/>
        <v>903.95999999999992</v>
      </c>
      <c r="Z82" s="16">
        <f t="shared" si="22"/>
        <v>0.50492660365976272</v>
      </c>
      <c r="AD82" s="8"/>
    </row>
    <row r="83" spans="1:30" x14ac:dyDescent="0.35">
      <c r="A83" t="s">
        <v>346</v>
      </c>
      <c r="B83" s="1">
        <v>45561</v>
      </c>
      <c r="C83" s="21">
        <f t="shared" si="16"/>
        <v>9</v>
      </c>
      <c r="D83" s="19">
        <f t="shared" si="13"/>
        <v>45536</v>
      </c>
      <c r="E83" s="21">
        <f t="shared" si="17"/>
        <v>2024</v>
      </c>
      <c r="F83" s="3">
        <f t="shared" si="14"/>
        <v>45536</v>
      </c>
      <c r="G83" t="s">
        <v>310</v>
      </c>
      <c r="H83" t="s">
        <v>347</v>
      </c>
      <c r="I83" t="s">
        <v>990</v>
      </c>
      <c r="J83" t="s">
        <v>1028</v>
      </c>
      <c r="K83" t="s">
        <v>768</v>
      </c>
      <c r="L83" t="s">
        <v>103</v>
      </c>
      <c r="M83" t="s">
        <v>19</v>
      </c>
      <c r="N83" t="s">
        <v>88</v>
      </c>
      <c r="O83" s="5">
        <v>7</v>
      </c>
      <c r="P83" s="16">
        <v>86.9</v>
      </c>
      <c r="Q83" s="2">
        <v>0.05</v>
      </c>
      <c r="R83" s="16">
        <v>945.43</v>
      </c>
      <c r="S83" t="s">
        <v>49</v>
      </c>
      <c r="T83" t="s">
        <v>56</v>
      </c>
      <c r="U83" t="str">
        <f t="shared" si="18"/>
        <v>Sale</v>
      </c>
      <c r="V83" t="str">
        <f t="shared" si="19"/>
        <v>Check</v>
      </c>
      <c r="W83" s="16">
        <f t="shared" si="20"/>
        <v>577.88499999999999</v>
      </c>
      <c r="X83" s="16">
        <f t="shared" si="21"/>
        <v>6618.0099999999993</v>
      </c>
      <c r="Y83" s="16">
        <f t="shared" si="15"/>
        <v>-6040.1249999999991</v>
      </c>
      <c r="Z83" s="16">
        <f t="shared" si="22"/>
        <v>-10.452122827206104</v>
      </c>
      <c r="AD83" s="8"/>
    </row>
    <row r="84" spans="1:30" x14ac:dyDescent="0.35">
      <c r="A84" t="s">
        <v>348</v>
      </c>
      <c r="B84" s="1">
        <v>45476</v>
      </c>
      <c r="C84" s="21">
        <f t="shared" si="16"/>
        <v>7</v>
      </c>
      <c r="D84" s="19">
        <f t="shared" si="13"/>
        <v>45474</v>
      </c>
      <c r="E84" s="21">
        <f t="shared" si="17"/>
        <v>2024</v>
      </c>
      <c r="F84" s="3">
        <f t="shared" si="14"/>
        <v>45474</v>
      </c>
      <c r="G84" t="s">
        <v>298</v>
      </c>
      <c r="H84" t="s">
        <v>350</v>
      </c>
      <c r="I84" t="s">
        <v>859</v>
      </c>
      <c r="J84" t="s">
        <v>762</v>
      </c>
      <c r="K84" t="s">
        <v>40</v>
      </c>
      <c r="L84" t="s">
        <v>103</v>
      </c>
      <c r="M84" t="s">
        <v>54</v>
      </c>
      <c r="N84" t="s">
        <v>74</v>
      </c>
      <c r="O84" s="5">
        <v>9</v>
      </c>
      <c r="P84" s="16">
        <v>1003.73</v>
      </c>
      <c r="Q84" s="2">
        <v>0.2</v>
      </c>
      <c r="R84" s="16">
        <v>398.28</v>
      </c>
      <c r="S84" t="s">
        <v>35</v>
      </c>
      <c r="T84" t="s">
        <v>56</v>
      </c>
      <c r="U84" t="str">
        <f t="shared" si="18"/>
        <v>Sale</v>
      </c>
      <c r="V84" t="str">
        <f t="shared" si="19"/>
        <v>Check</v>
      </c>
      <c r="W84" s="16">
        <f t="shared" si="20"/>
        <v>7226.8559999999998</v>
      </c>
      <c r="X84" s="16">
        <f t="shared" si="21"/>
        <v>3584.5199999999995</v>
      </c>
      <c r="Y84" s="16">
        <f t="shared" si="15"/>
        <v>3642.3360000000002</v>
      </c>
      <c r="Z84" s="16">
        <f t="shared" si="22"/>
        <v>0.50400007970270899</v>
      </c>
      <c r="AD84" s="8"/>
    </row>
    <row r="85" spans="1:30" x14ac:dyDescent="0.35">
      <c r="A85" t="s">
        <v>351</v>
      </c>
      <c r="B85" s="1">
        <v>45655</v>
      </c>
      <c r="C85" s="21">
        <f t="shared" si="16"/>
        <v>12</v>
      </c>
      <c r="D85" s="19">
        <f t="shared" si="13"/>
        <v>45627</v>
      </c>
      <c r="E85" s="21">
        <f t="shared" si="17"/>
        <v>2024</v>
      </c>
      <c r="F85" s="3">
        <f t="shared" si="14"/>
        <v>45627</v>
      </c>
      <c r="G85" t="s">
        <v>353</v>
      </c>
      <c r="H85" t="s">
        <v>354</v>
      </c>
      <c r="I85" t="s">
        <v>991</v>
      </c>
      <c r="J85" t="s">
        <v>1027</v>
      </c>
      <c r="K85" t="s">
        <v>17</v>
      </c>
      <c r="L85" t="s">
        <v>18</v>
      </c>
      <c r="M85" t="s">
        <v>28</v>
      </c>
      <c r="N85" t="s">
        <v>63</v>
      </c>
      <c r="O85" s="5">
        <v>-7</v>
      </c>
      <c r="P85" s="16">
        <v>490.53</v>
      </c>
      <c r="Q85" s="2">
        <v>0.2</v>
      </c>
      <c r="R85" s="16">
        <v>618.89</v>
      </c>
      <c r="S85" t="s">
        <v>1058</v>
      </c>
      <c r="T85" t="s">
        <v>56</v>
      </c>
      <c r="U85" t="str">
        <f t="shared" si="18"/>
        <v>Return</v>
      </c>
      <c r="V85" t="str">
        <f t="shared" si="19"/>
        <v>OK</v>
      </c>
      <c r="W85" s="16">
        <f t="shared" si="20"/>
        <v>-2746.9680000000003</v>
      </c>
      <c r="X85" s="16">
        <f t="shared" si="21"/>
        <v>-4332.2299999999996</v>
      </c>
      <c r="Y85" s="16">
        <f t="shared" si="15"/>
        <v>1585.2619999999993</v>
      </c>
      <c r="Z85" s="16">
        <f t="shared" si="22"/>
        <v>-0.57709518276150251</v>
      </c>
      <c r="AD85" s="8"/>
    </row>
    <row r="86" spans="1:30" x14ac:dyDescent="0.35">
      <c r="A86" t="s">
        <v>355</v>
      </c>
      <c r="B86" s="1">
        <v>45494</v>
      </c>
      <c r="C86" s="21">
        <f t="shared" si="16"/>
        <v>7</v>
      </c>
      <c r="D86" s="19">
        <f t="shared" si="13"/>
        <v>45474</v>
      </c>
      <c r="E86" s="21">
        <f t="shared" si="17"/>
        <v>2024</v>
      </c>
      <c r="F86" s="3">
        <f t="shared" si="14"/>
        <v>45474</v>
      </c>
      <c r="G86" t="s">
        <v>215</v>
      </c>
      <c r="H86" t="s">
        <v>357</v>
      </c>
      <c r="I86" t="s">
        <v>830</v>
      </c>
      <c r="J86" t="s">
        <v>831</v>
      </c>
      <c r="K86" t="s">
        <v>768</v>
      </c>
      <c r="L86" t="s">
        <v>41</v>
      </c>
      <c r="M86" t="s">
        <v>28</v>
      </c>
      <c r="N86" t="s">
        <v>29</v>
      </c>
      <c r="O86" s="5">
        <v>4</v>
      </c>
      <c r="P86" s="16">
        <v>256.36</v>
      </c>
      <c r="Q86" s="2">
        <v>0.05</v>
      </c>
      <c r="R86" s="16">
        <v>115.8</v>
      </c>
      <c r="S86" t="s">
        <v>22</v>
      </c>
      <c r="T86" t="s">
        <v>23</v>
      </c>
      <c r="U86" t="str">
        <f t="shared" si="18"/>
        <v>Sale</v>
      </c>
      <c r="V86" t="str">
        <f t="shared" si="19"/>
        <v>OK</v>
      </c>
      <c r="W86" s="16">
        <f t="shared" si="20"/>
        <v>974.16800000000001</v>
      </c>
      <c r="X86" s="16">
        <f t="shared" si="21"/>
        <v>463.2</v>
      </c>
      <c r="Y86" s="16">
        <f t="shared" si="15"/>
        <v>510.96800000000002</v>
      </c>
      <c r="Z86" s="16">
        <f t="shared" si="22"/>
        <v>0.52451733171280523</v>
      </c>
      <c r="AD86" s="8"/>
    </row>
    <row r="87" spans="1:30" x14ac:dyDescent="0.35">
      <c r="A87" t="s">
        <v>358</v>
      </c>
      <c r="B87" s="1">
        <v>45423</v>
      </c>
      <c r="C87" s="21">
        <f t="shared" si="16"/>
        <v>5</v>
      </c>
      <c r="D87" s="19">
        <f t="shared" si="13"/>
        <v>45413</v>
      </c>
      <c r="E87" s="21">
        <f t="shared" si="17"/>
        <v>2024</v>
      </c>
      <c r="F87" s="3">
        <f t="shared" si="14"/>
        <v>45413</v>
      </c>
      <c r="G87" t="s">
        <v>263</v>
      </c>
      <c r="H87" t="s">
        <v>973</v>
      </c>
      <c r="I87" t="s">
        <v>943</v>
      </c>
      <c r="J87" t="s">
        <v>832</v>
      </c>
      <c r="K87" t="s">
        <v>40</v>
      </c>
      <c r="L87" t="s">
        <v>34</v>
      </c>
      <c r="M87" t="s">
        <v>19</v>
      </c>
      <c r="N87" t="s">
        <v>135</v>
      </c>
      <c r="O87" s="5">
        <v>10</v>
      </c>
      <c r="P87" s="16">
        <v>1139.93</v>
      </c>
      <c r="Q87" s="2">
        <v>0.2</v>
      </c>
      <c r="R87" s="16">
        <v>951.39</v>
      </c>
      <c r="S87" t="s">
        <v>35</v>
      </c>
      <c r="T87" t="s">
        <v>23</v>
      </c>
      <c r="U87" t="str">
        <f t="shared" si="18"/>
        <v>Sale</v>
      </c>
      <c r="V87" t="str">
        <f t="shared" si="19"/>
        <v>OK</v>
      </c>
      <c r="W87" s="16">
        <f t="shared" si="20"/>
        <v>9119.44</v>
      </c>
      <c r="X87" s="16">
        <f t="shared" si="21"/>
        <v>9513.9</v>
      </c>
      <c r="Y87" s="16">
        <f t="shared" si="15"/>
        <v>-394.45999999999913</v>
      </c>
      <c r="Z87" s="16">
        <f t="shared" si="22"/>
        <v>-4.3254848981954933E-2</v>
      </c>
      <c r="AD87" s="8"/>
    </row>
    <row r="88" spans="1:30" x14ac:dyDescent="0.35">
      <c r="A88" t="s">
        <v>361</v>
      </c>
      <c r="B88" s="1">
        <v>45384</v>
      </c>
      <c r="C88" s="21">
        <f t="shared" si="16"/>
        <v>4</v>
      </c>
      <c r="D88" s="19">
        <f t="shared" si="13"/>
        <v>45383</v>
      </c>
      <c r="E88" s="21">
        <f t="shared" si="17"/>
        <v>2024</v>
      </c>
      <c r="F88" s="3">
        <f t="shared" si="14"/>
        <v>45383</v>
      </c>
      <c r="G88" t="s">
        <v>147</v>
      </c>
      <c r="H88" t="s">
        <v>363</v>
      </c>
      <c r="I88" t="s">
        <v>992</v>
      </c>
      <c r="J88" t="s">
        <v>1029</v>
      </c>
      <c r="K88" t="s">
        <v>18</v>
      </c>
      <c r="L88" t="s">
        <v>103</v>
      </c>
      <c r="M88" t="s">
        <v>19</v>
      </c>
      <c r="N88" t="s">
        <v>88</v>
      </c>
      <c r="O88" s="5">
        <v>13</v>
      </c>
      <c r="P88" s="16">
        <v>88.98</v>
      </c>
      <c r="Q88" s="2">
        <v>0.1</v>
      </c>
      <c r="R88" s="16">
        <v>311.79000000000002</v>
      </c>
      <c r="S88" t="s">
        <v>49</v>
      </c>
      <c r="T88" t="s">
        <v>56</v>
      </c>
      <c r="U88" t="str">
        <f t="shared" si="18"/>
        <v>Sale</v>
      </c>
      <c r="V88" t="str">
        <f t="shared" si="19"/>
        <v>Check</v>
      </c>
      <c r="W88" s="16">
        <f t="shared" si="20"/>
        <v>1041.066</v>
      </c>
      <c r="X88" s="16">
        <f t="shared" si="21"/>
        <v>4053.2700000000004</v>
      </c>
      <c r="Y88" s="16">
        <f t="shared" si="15"/>
        <v>-3012.2040000000006</v>
      </c>
      <c r="Z88" s="16">
        <f t="shared" si="22"/>
        <v>-2.8933842811118611</v>
      </c>
      <c r="AD88" s="8"/>
    </row>
    <row r="89" spans="1:30" x14ac:dyDescent="0.35">
      <c r="A89" t="s">
        <v>364</v>
      </c>
      <c r="B89" s="1">
        <v>45575</v>
      </c>
      <c r="C89" s="21">
        <f t="shared" si="16"/>
        <v>10</v>
      </c>
      <c r="D89" s="19">
        <f t="shared" si="13"/>
        <v>45566</v>
      </c>
      <c r="E89" s="21">
        <f t="shared" si="17"/>
        <v>2024</v>
      </c>
      <c r="F89" s="3">
        <f t="shared" si="14"/>
        <v>45566</v>
      </c>
      <c r="G89" t="s">
        <v>72</v>
      </c>
      <c r="H89" t="s">
        <v>366</v>
      </c>
      <c r="I89" t="s">
        <v>833</v>
      </c>
      <c r="J89" t="s">
        <v>834</v>
      </c>
      <c r="K89" t="s">
        <v>47</v>
      </c>
      <c r="L89" t="s">
        <v>94</v>
      </c>
      <c r="M89" t="s">
        <v>54</v>
      </c>
      <c r="N89" t="s">
        <v>68</v>
      </c>
      <c r="O89" s="5">
        <v>1</v>
      </c>
      <c r="P89" s="16">
        <v>1215.67</v>
      </c>
      <c r="Q89" s="2">
        <v>0.1</v>
      </c>
      <c r="R89" s="16">
        <v>322.88</v>
      </c>
      <c r="S89" t="s">
        <v>49</v>
      </c>
      <c r="T89" t="s">
        <v>23</v>
      </c>
      <c r="U89" t="str">
        <f t="shared" si="18"/>
        <v>Sale</v>
      </c>
      <c r="V89" t="str">
        <f t="shared" si="19"/>
        <v>OK</v>
      </c>
      <c r="W89" s="16">
        <f t="shared" si="20"/>
        <v>1094.1030000000001</v>
      </c>
      <c r="X89" s="16">
        <f t="shared" si="21"/>
        <v>322.88</v>
      </c>
      <c r="Y89" s="16">
        <f t="shared" si="15"/>
        <v>771.22300000000007</v>
      </c>
      <c r="Z89" s="16">
        <f t="shared" si="22"/>
        <v>0.70489067299879449</v>
      </c>
      <c r="AD89" s="8"/>
    </row>
    <row r="90" spans="1:30" x14ac:dyDescent="0.35">
      <c r="A90" t="s">
        <v>367</v>
      </c>
      <c r="B90" s="1">
        <v>45312</v>
      </c>
      <c r="C90" s="21">
        <f t="shared" si="16"/>
        <v>1</v>
      </c>
      <c r="D90" s="19">
        <f t="shared" si="13"/>
        <v>45292</v>
      </c>
      <c r="E90" s="21">
        <f t="shared" si="17"/>
        <v>2024</v>
      </c>
      <c r="F90" s="3">
        <f t="shared" si="14"/>
        <v>45292</v>
      </c>
      <c r="G90" t="s">
        <v>369</v>
      </c>
      <c r="H90" t="s">
        <v>370</v>
      </c>
      <c r="I90" t="s">
        <v>835</v>
      </c>
      <c r="J90" t="s">
        <v>836</v>
      </c>
      <c r="K90" t="s">
        <v>768</v>
      </c>
      <c r="L90" t="s">
        <v>34</v>
      </c>
      <c r="M90" t="s">
        <v>19</v>
      </c>
      <c r="N90" t="s">
        <v>135</v>
      </c>
      <c r="O90" s="5">
        <v>8</v>
      </c>
      <c r="P90" s="16">
        <v>788.48</v>
      </c>
      <c r="Q90" s="2">
        <v>0.1</v>
      </c>
      <c r="R90" s="16">
        <v>365.17</v>
      </c>
      <c r="S90" t="s">
        <v>49</v>
      </c>
      <c r="T90" t="s">
        <v>23</v>
      </c>
      <c r="U90" t="str">
        <f t="shared" si="18"/>
        <v>Sale</v>
      </c>
      <c r="V90" t="str">
        <f t="shared" si="19"/>
        <v>OK</v>
      </c>
      <c r="W90" s="16">
        <f t="shared" si="20"/>
        <v>5677.0560000000005</v>
      </c>
      <c r="X90" s="16">
        <f t="shared" si="21"/>
        <v>2921.36</v>
      </c>
      <c r="Y90" s="16">
        <f t="shared" si="15"/>
        <v>2755.6960000000004</v>
      </c>
      <c r="Z90" s="16">
        <f t="shared" si="22"/>
        <v>0.48540933892496396</v>
      </c>
      <c r="AD90" s="8"/>
    </row>
    <row r="91" spans="1:30" x14ac:dyDescent="0.35">
      <c r="A91" t="s">
        <v>371</v>
      </c>
      <c r="B91" s="1">
        <v>45340</v>
      </c>
      <c r="C91" s="21">
        <f t="shared" si="16"/>
        <v>2</v>
      </c>
      <c r="D91" s="19">
        <f t="shared" si="13"/>
        <v>45323</v>
      </c>
      <c r="E91" s="21">
        <f t="shared" si="17"/>
        <v>2024</v>
      </c>
      <c r="F91" s="3">
        <f t="shared" si="14"/>
        <v>45323</v>
      </c>
      <c r="G91" t="s">
        <v>373</v>
      </c>
      <c r="H91" t="s">
        <v>374</v>
      </c>
      <c r="I91" t="s">
        <v>859</v>
      </c>
      <c r="J91" t="s">
        <v>1030</v>
      </c>
      <c r="K91" t="s">
        <v>40</v>
      </c>
      <c r="L91" t="s">
        <v>41</v>
      </c>
      <c r="M91" t="s">
        <v>19</v>
      </c>
      <c r="N91" t="s">
        <v>158</v>
      </c>
      <c r="O91" s="5">
        <v>5</v>
      </c>
      <c r="P91" s="16">
        <v>986.56</v>
      </c>
      <c r="Q91" s="2">
        <v>0.1</v>
      </c>
      <c r="R91" s="16">
        <v>873.53</v>
      </c>
      <c r="S91" t="s">
        <v>35</v>
      </c>
      <c r="T91" t="s">
        <v>56</v>
      </c>
      <c r="U91" t="str">
        <f t="shared" si="18"/>
        <v>Sale</v>
      </c>
      <c r="V91" t="str">
        <f t="shared" si="19"/>
        <v>Check</v>
      </c>
      <c r="W91" s="16">
        <f t="shared" si="20"/>
        <v>4439.5199999999995</v>
      </c>
      <c r="X91" s="16">
        <f t="shared" si="21"/>
        <v>4367.6499999999996</v>
      </c>
      <c r="Y91" s="16">
        <f t="shared" si="15"/>
        <v>71.869999999999891</v>
      </c>
      <c r="Z91" s="16">
        <f t="shared" si="22"/>
        <v>1.6188687065268294E-2</v>
      </c>
      <c r="AD91" s="8"/>
    </row>
    <row r="92" spans="1:30" x14ac:dyDescent="0.35">
      <c r="A92" t="s">
        <v>375</v>
      </c>
      <c r="B92" s="1">
        <v>45479</v>
      </c>
      <c r="C92" s="21">
        <f t="shared" si="16"/>
        <v>7</v>
      </c>
      <c r="D92" s="19">
        <f t="shared" si="13"/>
        <v>45474</v>
      </c>
      <c r="E92" s="21">
        <f t="shared" si="17"/>
        <v>2024</v>
      </c>
      <c r="F92" s="3">
        <f t="shared" si="14"/>
        <v>45474</v>
      </c>
      <c r="G92" t="s">
        <v>377</v>
      </c>
      <c r="H92" t="s">
        <v>378</v>
      </c>
      <c r="I92" t="s">
        <v>837</v>
      </c>
      <c r="J92" t="s">
        <v>838</v>
      </c>
      <c r="K92" t="s">
        <v>47</v>
      </c>
      <c r="L92" t="s">
        <v>62</v>
      </c>
      <c r="M92" t="s">
        <v>19</v>
      </c>
      <c r="N92" t="s">
        <v>20</v>
      </c>
      <c r="O92" s="5">
        <v>6</v>
      </c>
      <c r="P92" s="16">
        <v>1006.82</v>
      </c>
      <c r="Q92" s="2">
        <v>0.2</v>
      </c>
      <c r="R92" s="16">
        <v>739.3</v>
      </c>
      <c r="S92" t="s">
        <v>35</v>
      </c>
      <c r="T92" t="s">
        <v>23</v>
      </c>
      <c r="U92" t="str">
        <f t="shared" si="18"/>
        <v>Sale</v>
      </c>
      <c r="V92" t="str">
        <f t="shared" si="19"/>
        <v>OK</v>
      </c>
      <c r="W92" s="16">
        <f t="shared" si="20"/>
        <v>4832.7359999999999</v>
      </c>
      <c r="X92" s="16">
        <f t="shared" si="21"/>
        <v>4435.7999999999993</v>
      </c>
      <c r="Y92" s="16">
        <f t="shared" si="15"/>
        <v>396.9360000000006</v>
      </c>
      <c r="Z92" s="16">
        <f t="shared" si="22"/>
        <v>8.213484038855022E-2</v>
      </c>
      <c r="AD92" s="8"/>
    </row>
    <row r="93" spans="1:30" x14ac:dyDescent="0.35">
      <c r="A93" t="s">
        <v>379</v>
      </c>
      <c r="B93" s="1">
        <v>45384</v>
      </c>
      <c r="C93" s="21">
        <f t="shared" si="16"/>
        <v>4</v>
      </c>
      <c r="D93" s="19">
        <f t="shared" si="13"/>
        <v>45383</v>
      </c>
      <c r="E93" s="21">
        <f t="shared" si="17"/>
        <v>2024</v>
      </c>
      <c r="F93" s="3">
        <f t="shared" si="14"/>
        <v>45383</v>
      </c>
      <c r="G93" t="s">
        <v>72</v>
      </c>
      <c r="H93" t="s">
        <v>381</v>
      </c>
      <c r="I93" t="s">
        <v>839</v>
      </c>
      <c r="J93" t="s">
        <v>840</v>
      </c>
      <c r="K93" t="s">
        <v>47</v>
      </c>
      <c r="L93" t="s">
        <v>34</v>
      </c>
      <c r="M93" t="s">
        <v>19</v>
      </c>
      <c r="N93" t="s">
        <v>158</v>
      </c>
      <c r="O93" s="5">
        <v>13</v>
      </c>
      <c r="P93" s="16">
        <v>343.68</v>
      </c>
      <c r="Q93" s="2">
        <v>0</v>
      </c>
      <c r="R93" s="16">
        <v>79.010000000000005</v>
      </c>
      <c r="S93" t="s">
        <v>35</v>
      </c>
      <c r="T93" t="s">
        <v>23</v>
      </c>
      <c r="U93" t="str">
        <f t="shared" si="18"/>
        <v>Sale</v>
      </c>
      <c r="V93" t="str">
        <f t="shared" si="19"/>
        <v>OK</v>
      </c>
      <c r="W93" s="16">
        <f t="shared" si="20"/>
        <v>4467.84</v>
      </c>
      <c r="X93" s="16">
        <f t="shared" si="21"/>
        <v>1027.1300000000001</v>
      </c>
      <c r="Y93" s="16">
        <f t="shared" si="15"/>
        <v>3440.71</v>
      </c>
      <c r="Z93" s="16">
        <f t="shared" si="22"/>
        <v>0.77010591247672255</v>
      </c>
      <c r="AD93" s="8"/>
    </row>
    <row r="94" spans="1:30" x14ac:dyDescent="0.35">
      <c r="A94" t="s">
        <v>382</v>
      </c>
      <c r="B94" s="1">
        <v>45370</v>
      </c>
      <c r="C94" s="21">
        <f t="shared" si="16"/>
        <v>3</v>
      </c>
      <c r="D94" s="19">
        <f t="shared" si="13"/>
        <v>45352</v>
      </c>
      <c r="E94" s="21">
        <f t="shared" si="17"/>
        <v>2024</v>
      </c>
      <c r="F94" s="3">
        <f t="shared" si="14"/>
        <v>45352</v>
      </c>
      <c r="G94" t="s">
        <v>242</v>
      </c>
      <c r="H94" t="s">
        <v>384</v>
      </c>
      <c r="I94" t="s">
        <v>993</v>
      </c>
      <c r="J94" t="s">
        <v>1031</v>
      </c>
      <c r="K94" t="s">
        <v>83</v>
      </c>
      <c r="L94" t="s">
        <v>94</v>
      </c>
      <c r="M94" t="s">
        <v>28</v>
      </c>
      <c r="N94" t="s">
        <v>63</v>
      </c>
      <c r="O94" s="5">
        <v>14</v>
      </c>
      <c r="P94" s="16">
        <v>938.99</v>
      </c>
      <c r="Q94" s="2">
        <v>0</v>
      </c>
      <c r="R94" s="16">
        <v>721.74</v>
      </c>
      <c r="S94" t="s">
        <v>35</v>
      </c>
      <c r="T94" t="s">
        <v>56</v>
      </c>
      <c r="U94" t="str">
        <f t="shared" si="18"/>
        <v>Sale</v>
      </c>
      <c r="V94" t="str">
        <f t="shared" si="19"/>
        <v>Check</v>
      </c>
      <c r="W94" s="16">
        <f t="shared" si="20"/>
        <v>13145.86</v>
      </c>
      <c r="X94" s="16">
        <f t="shared" si="21"/>
        <v>10104.36</v>
      </c>
      <c r="Y94" s="16">
        <f t="shared" si="15"/>
        <v>3041.5</v>
      </c>
      <c r="Z94" s="16">
        <f t="shared" si="22"/>
        <v>0.23136561624724436</v>
      </c>
      <c r="AD94" s="8"/>
    </row>
    <row r="95" spans="1:30" x14ac:dyDescent="0.35">
      <c r="A95" t="s">
        <v>385</v>
      </c>
      <c r="B95" s="1">
        <v>45479</v>
      </c>
      <c r="C95" s="21">
        <f t="shared" si="16"/>
        <v>7</v>
      </c>
      <c r="D95" s="19">
        <f t="shared" si="13"/>
        <v>45474</v>
      </c>
      <c r="E95" s="21">
        <f t="shared" si="17"/>
        <v>2024</v>
      </c>
      <c r="F95" s="3">
        <f t="shared" si="14"/>
        <v>45474</v>
      </c>
      <c r="G95" t="s">
        <v>66</v>
      </c>
      <c r="H95" t="s">
        <v>386</v>
      </c>
      <c r="I95" t="s">
        <v>841</v>
      </c>
      <c r="J95" t="s">
        <v>794</v>
      </c>
      <c r="K95" t="s">
        <v>47</v>
      </c>
      <c r="L95" t="s">
        <v>62</v>
      </c>
      <c r="M95" t="s">
        <v>19</v>
      </c>
      <c r="N95" t="s">
        <v>135</v>
      </c>
      <c r="O95" s="5">
        <v>15</v>
      </c>
      <c r="P95" s="16">
        <v>554.91999999999996</v>
      </c>
      <c r="Q95" s="2">
        <v>0.1</v>
      </c>
      <c r="R95" s="16">
        <v>984.47</v>
      </c>
      <c r="S95" t="s">
        <v>1058</v>
      </c>
      <c r="T95" t="s">
        <v>23</v>
      </c>
      <c r="U95" t="str">
        <f t="shared" si="18"/>
        <v>Sale</v>
      </c>
      <c r="V95" t="str">
        <f t="shared" si="19"/>
        <v>OK</v>
      </c>
      <c r="W95" s="16">
        <f t="shared" si="20"/>
        <v>7491.4199999999992</v>
      </c>
      <c r="X95" s="16">
        <f t="shared" si="21"/>
        <v>14767.050000000001</v>
      </c>
      <c r="Y95" s="16">
        <f t="shared" si="15"/>
        <v>-7275.6300000000019</v>
      </c>
      <c r="Z95" s="16">
        <f t="shared" si="22"/>
        <v>-0.97119504713392157</v>
      </c>
      <c r="AD95" s="8"/>
    </row>
    <row r="96" spans="1:30" x14ac:dyDescent="0.35">
      <c r="A96" t="s">
        <v>387</v>
      </c>
      <c r="B96" s="1">
        <v>45738</v>
      </c>
      <c r="C96" s="21">
        <f t="shared" si="16"/>
        <v>3</v>
      </c>
      <c r="D96" s="19">
        <f t="shared" si="13"/>
        <v>45717</v>
      </c>
      <c r="E96" s="21">
        <f t="shared" si="17"/>
        <v>2025</v>
      </c>
      <c r="F96" s="3">
        <f t="shared" si="14"/>
        <v>45717</v>
      </c>
      <c r="G96" t="s">
        <v>389</v>
      </c>
      <c r="H96" t="s">
        <v>390</v>
      </c>
      <c r="I96" t="s">
        <v>842</v>
      </c>
      <c r="J96" t="s">
        <v>843</v>
      </c>
      <c r="K96" t="s">
        <v>40</v>
      </c>
      <c r="L96" t="s">
        <v>41</v>
      </c>
      <c r="M96" t="s">
        <v>19</v>
      </c>
      <c r="N96" t="s">
        <v>135</v>
      </c>
      <c r="O96" s="5">
        <v>11</v>
      </c>
      <c r="P96" s="16">
        <v>559.96</v>
      </c>
      <c r="Q96" s="2">
        <v>0.05</v>
      </c>
      <c r="R96" s="16">
        <v>711.98</v>
      </c>
      <c r="S96" t="s">
        <v>1058</v>
      </c>
      <c r="T96" t="s">
        <v>23</v>
      </c>
      <c r="U96" t="str">
        <f t="shared" si="18"/>
        <v>Sale</v>
      </c>
      <c r="V96" t="str">
        <f t="shared" si="19"/>
        <v>OK</v>
      </c>
      <c r="W96" s="16">
        <f t="shared" si="20"/>
        <v>5851.5820000000003</v>
      </c>
      <c r="X96" s="16">
        <f t="shared" si="21"/>
        <v>7831.7800000000007</v>
      </c>
      <c r="Y96" s="16">
        <f t="shared" si="15"/>
        <v>-1980.1980000000003</v>
      </c>
      <c r="Z96" s="16">
        <f t="shared" si="22"/>
        <v>-0.33840387095318841</v>
      </c>
      <c r="AD96" s="8"/>
    </row>
    <row r="97" spans="1:30" x14ac:dyDescent="0.35">
      <c r="A97" t="s">
        <v>391</v>
      </c>
      <c r="B97" s="1">
        <v>45776</v>
      </c>
      <c r="C97" s="21">
        <f t="shared" si="16"/>
        <v>4</v>
      </c>
      <c r="D97" s="19">
        <f t="shared" si="13"/>
        <v>45748</v>
      </c>
      <c r="E97" s="21">
        <f t="shared" si="17"/>
        <v>2025</v>
      </c>
      <c r="F97" s="3">
        <f t="shared" si="14"/>
        <v>45748</v>
      </c>
      <c r="G97" t="s">
        <v>369</v>
      </c>
      <c r="H97" t="s">
        <v>393</v>
      </c>
      <c r="I97" t="s">
        <v>844</v>
      </c>
      <c r="J97" t="s">
        <v>845</v>
      </c>
      <c r="K97" t="s">
        <v>768</v>
      </c>
      <c r="L97" t="s">
        <v>18</v>
      </c>
      <c r="M97" t="s">
        <v>54</v>
      </c>
      <c r="N97" t="s">
        <v>74</v>
      </c>
      <c r="O97" s="5">
        <v>15</v>
      </c>
      <c r="P97" s="16">
        <v>44.87</v>
      </c>
      <c r="Q97" s="2">
        <v>0.05</v>
      </c>
      <c r="R97" s="16">
        <v>503</v>
      </c>
      <c r="S97" t="s">
        <v>49</v>
      </c>
      <c r="T97" t="s">
        <v>23</v>
      </c>
      <c r="U97" t="str">
        <f t="shared" si="18"/>
        <v>Sale</v>
      </c>
      <c r="V97" t="str">
        <f t="shared" si="19"/>
        <v>OK</v>
      </c>
      <c r="W97" s="16">
        <f t="shared" si="20"/>
        <v>639.39749999999992</v>
      </c>
      <c r="X97" s="16">
        <f t="shared" si="21"/>
        <v>7545</v>
      </c>
      <c r="Y97" s="16">
        <f t="shared" si="15"/>
        <v>-6905.6025</v>
      </c>
      <c r="Z97" s="16">
        <f t="shared" si="22"/>
        <v>-10.8001712549705</v>
      </c>
      <c r="AD97" s="8"/>
    </row>
    <row r="98" spans="1:30" x14ac:dyDescent="0.35">
      <c r="A98" t="s">
        <v>394</v>
      </c>
      <c r="B98" s="1">
        <v>45697</v>
      </c>
      <c r="C98" s="21">
        <f t="shared" si="16"/>
        <v>2</v>
      </c>
      <c r="D98" s="19">
        <f t="shared" ref="D98:D129" si="23">DATE(YEAR(B98),MONTH(B98),DAY(1))</f>
        <v>45689</v>
      </c>
      <c r="E98" s="21">
        <f t="shared" si="17"/>
        <v>2025</v>
      </c>
      <c r="F98" s="3">
        <f t="shared" ref="F98:F129" si="24">DATE(YEAR(B98),MONTH(B98),DAY(1))</f>
        <v>45689</v>
      </c>
      <c r="G98" t="s">
        <v>91</v>
      </c>
      <c r="H98" t="s">
        <v>396</v>
      </c>
      <c r="I98" t="s">
        <v>846</v>
      </c>
      <c r="J98" t="s">
        <v>809</v>
      </c>
      <c r="K98" t="s">
        <v>47</v>
      </c>
      <c r="L98" t="s">
        <v>103</v>
      </c>
      <c r="M98" t="s">
        <v>19</v>
      </c>
      <c r="N98" t="s">
        <v>158</v>
      </c>
      <c r="O98" s="5">
        <v>1</v>
      </c>
      <c r="P98" s="16">
        <v>1245.49</v>
      </c>
      <c r="Q98" s="2">
        <v>0.2</v>
      </c>
      <c r="R98" s="16">
        <v>140.52000000000001</v>
      </c>
      <c r="S98" t="s">
        <v>49</v>
      </c>
      <c r="T98" t="s">
        <v>23</v>
      </c>
      <c r="U98" t="str">
        <f t="shared" si="18"/>
        <v>Sale</v>
      </c>
      <c r="V98" t="str">
        <f t="shared" si="19"/>
        <v>OK</v>
      </c>
      <c r="W98" s="16">
        <f t="shared" si="20"/>
        <v>996.39200000000005</v>
      </c>
      <c r="X98" s="16">
        <f t="shared" si="21"/>
        <v>140.52000000000001</v>
      </c>
      <c r="Y98" s="16">
        <f t="shared" ref="Y98:Y129" si="25">W98-X98</f>
        <v>855.87200000000007</v>
      </c>
      <c r="Z98" s="16">
        <f t="shared" si="22"/>
        <v>0.85897116797405038</v>
      </c>
      <c r="AD98" s="8"/>
    </row>
    <row r="99" spans="1:30" x14ac:dyDescent="0.35">
      <c r="A99" t="s">
        <v>397</v>
      </c>
      <c r="B99" s="1">
        <v>45483</v>
      </c>
      <c r="C99" s="21">
        <f t="shared" si="16"/>
        <v>7</v>
      </c>
      <c r="D99" s="19">
        <f t="shared" si="23"/>
        <v>45474</v>
      </c>
      <c r="E99" s="21">
        <f t="shared" si="17"/>
        <v>2024</v>
      </c>
      <c r="F99" s="3">
        <f t="shared" si="24"/>
        <v>45474</v>
      </c>
      <c r="G99" t="s">
        <v>38</v>
      </c>
      <c r="H99" t="s">
        <v>399</v>
      </c>
      <c r="I99" t="s">
        <v>980</v>
      </c>
      <c r="J99" t="s">
        <v>932</v>
      </c>
      <c r="K99" t="s">
        <v>40</v>
      </c>
      <c r="L99" t="s">
        <v>103</v>
      </c>
      <c r="M99" t="s">
        <v>19</v>
      </c>
      <c r="N99" t="s">
        <v>135</v>
      </c>
      <c r="O99" s="5">
        <v>7</v>
      </c>
      <c r="P99" s="16">
        <v>435.71</v>
      </c>
      <c r="Q99" s="2">
        <v>0.1</v>
      </c>
      <c r="R99" s="16">
        <v>49.65</v>
      </c>
      <c r="S99" t="s">
        <v>49</v>
      </c>
      <c r="T99" t="s">
        <v>56</v>
      </c>
      <c r="U99" t="str">
        <f t="shared" si="18"/>
        <v>Sale</v>
      </c>
      <c r="V99" t="str">
        <f t="shared" si="19"/>
        <v>Check</v>
      </c>
      <c r="W99" s="16">
        <f t="shared" si="20"/>
        <v>2744.973</v>
      </c>
      <c r="X99" s="16">
        <f t="shared" si="21"/>
        <v>347.55</v>
      </c>
      <c r="Y99" s="16">
        <f t="shared" si="25"/>
        <v>2397.4229999999998</v>
      </c>
      <c r="Z99" s="16">
        <f t="shared" si="22"/>
        <v>0.87338673276567735</v>
      </c>
      <c r="AD99" s="8"/>
    </row>
    <row r="100" spans="1:30" x14ac:dyDescent="0.35">
      <c r="A100" t="s">
        <v>400</v>
      </c>
      <c r="B100" s="1">
        <v>45536</v>
      </c>
      <c r="C100" s="21">
        <f t="shared" si="16"/>
        <v>9</v>
      </c>
      <c r="D100" s="19">
        <f t="shared" si="23"/>
        <v>45536</v>
      </c>
      <c r="E100" s="21">
        <f t="shared" si="17"/>
        <v>2024</v>
      </c>
      <c r="F100" s="3">
        <f t="shared" si="24"/>
        <v>45536</v>
      </c>
      <c r="G100" t="s">
        <v>402</v>
      </c>
      <c r="H100" t="s">
        <v>403</v>
      </c>
      <c r="I100" t="s">
        <v>847</v>
      </c>
      <c r="J100" t="s">
        <v>848</v>
      </c>
      <c r="K100" t="s">
        <v>17</v>
      </c>
      <c r="L100" t="s">
        <v>62</v>
      </c>
      <c r="M100" t="s">
        <v>28</v>
      </c>
      <c r="N100" t="s">
        <v>153</v>
      </c>
      <c r="O100" s="5">
        <v>12</v>
      </c>
      <c r="P100" s="16">
        <v>646.71</v>
      </c>
      <c r="Q100" s="2">
        <v>0.1</v>
      </c>
      <c r="R100" s="16">
        <v>242.08</v>
      </c>
      <c r="S100" t="s">
        <v>35</v>
      </c>
      <c r="T100" t="s">
        <v>23</v>
      </c>
      <c r="U100" t="str">
        <f t="shared" si="18"/>
        <v>Sale</v>
      </c>
      <c r="V100" t="str">
        <f t="shared" si="19"/>
        <v>OK</v>
      </c>
      <c r="W100" s="16">
        <f t="shared" si="20"/>
        <v>6984.4680000000008</v>
      </c>
      <c r="X100" s="16">
        <f t="shared" si="21"/>
        <v>2904.96</v>
      </c>
      <c r="Y100" s="16">
        <f t="shared" si="25"/>
        <v>4079.5080000000007</v>
      </c>
      <c r="Z100" s="16">
        <f t="shared" si="22"/>
        <v>0.58408285355448697</v>
      </c>
      <c r="AD100" s="8"/>
    </row>
    <row r="101" spans="1:30" x14ac:dyDescent="0.35">
      <c r="A101" t="s">
        <v>404</v>
      </c>
      <c r="B101" s="1">
        <v>45551</v>
      </c>
      <c r="C101" s="21">
        <f t="shared" si="16"/>
        <v>9</v>
      </c>
      <c r="D101" s="19">
        <f t="shared" si="23"/>
        <v>45536</v>
      </c>
      <c r="E101" s="21">
        <f t="shared" si="17"/>
        <v>2024</v>
      </c>
      <c r="F101" s="3">
        <f t="shared" si="24"/>
        <v>45536</v>
      </c>
      <c r="G101" t="s">
        <v>955</v>
      </c>
      <c r="H101" t="s">
        <v>406</v>
      </c>
      <c r="I101" t="s">
        <v>849</v>
      </c>
      <c r="J101" t="s">
        <v>850</v>
      </c>
      <c r="K101" t="s">
        <v>17</v>
      </c>
      <c r="L101" t="s">
        <v>41</v>
      </c>
      <c r="M101" t="s">
        <v>28</v>
      </c>
      <c r="N101" t="s">
        <v>153</v>
      </c>
      <c r="O101" s="5">
        <v>1</v>
      </c>
      <c r="P101" s="16">
        <v>707.85</v>
      </c>
      <c r="Q101" s="2">
        <v>0.1</v>
      </c>
      <c r="R101" s="16">
        <v>981.08</v>
      </c>
      <c r="S101" t="s">
        <v>22</v>
      </c>
      <c r="T101" t="s">
        <v>23</v>
      </c>
      <c r="U101" t="str">
        <f t="shared" si="18"/>
        <v>Sale</v>
      </c>
      <c r="V101" t="str">
        <f t="shared" si="19"/>
        <v>OK</v>
      </c>
      <c r="W101" s="16">
        <f t="shared" si="20"/>
        <v>637.06500000000005</v>
      </c>
      <c r="X101" s="16">
        <f t="shared" si="21"/>
        <v>981.08</v>
      </c>
      <c r="Y101" s="16">
        <f t="shared" si="25"/>
        <v>-344.01499999999999</v>
      </c>
      <c r="Z101" s="16">
        <f t="shared" si="22"/>
        <v>-0.53999984303014603</v>
      </c>
      <c r="AD101" s="8"/>
    </row>
    <row r="102" spans="1:30" x14ac:dyDescent="0.35">
      <c r="A102" t="s">
        <v>407</v>
      </c>
      <c r="B102" s="1">
        <v>45679</v>
      </c>
      <c r="C102" s="21">
        <f t="shared" si="16"/>
        <v>1</v>
      </c>
      <c r="D102" s="19">
        <f t="shared" si="23"/>
        <v>45658</v>
      </c>
      <c r="E102" s="21">
        <f t="shared" si="17"/>
        <v>2025</v>
      </c>
      <c r="F102" s="3">
        <f t="shared" si="24"/>
        <v>45658</v>
      </c>
      <c r="G102" t="s">
        <v>409</v>
      </c>
      <c r="H102" t="s">
        <v>410</v>
      </c>
      <c r="I102" t="s">
        <v>851</v>
      </c>
      <c r="J102" t="s">
        <v>852</v>
      </c>
      <c r="K102" t="s">
        <v>40</v>
      </c>
      <c r="L102" t="s">
        <v>103</v>
      </c>
      <c r="M102" t="s">
        <v>28</v>
      </c>
      <c r="N102" t="s">
        <v>153</v>
      </c>
      <c r="O102" s="5">
        <v>9</v>
      </c>
      <c r="P102" s="16">
        <v>965.98</v>
      </c>
      <c r="Q102" s="2">
        <v>0.2</v>
      </c>
      <c r="R102" s="16">
        <v>685.31</v>
      </c>
      <c r="S102" t="s">
        <v>1058</v>
      </c>
      <c r="T102" t="s">
        <v>23</v>
      </c>
      <c r="U102" t="str">
        <f t="shared" si="18"/>
        <v>Sale</v>
      </c>
      <c r="V102" t="str">
        <f t="shared" si="19"/>
        <v>OK</v>
      </c>
      <c r="W102" s="16">
        <f t="shared" si="20"/>
        <v>6955.0560000000005</v>
      </c>
      <c r="X102" s="16">
        <f t="shared" si="21"/>
        <v>6167.7899999999991</v>
      </c>
      <c r="Y102" s="16">
        <f t="shared" si="25"/>
        <v>787.26600000000144</v>
      </c>
      <c r="Z102" s="16">
        <f t="shared" si="22"/>
        <v>0.11319333733617692</v>
      </c>
      <c r="AD102" s="8"/>
    </row>
    <row r="103" spans="1:30" x14ac:dyDescent="0.35">
      <c r="A103" t="s">
        <v>411</v>
      </c>
      <c r="B103" s="1">
        <v>45314</v>
      </c>
      <c r="C103" s="21">
        <f t="shared" si="16"/>
        <v>1</v>
      </c>
      <c r="D103" s="19">
        <f t="shared" si="23"/>
        <v>45292</v>
      </c>
      <c r="E103" s="21">
        <f t="shared" si="17"/>
        <v>2024</v>
      </c>
      <c r="F103" s="3">
        <f t="shared" si="24"/>
        <v>45292</v>
      </c>
      <c r="G103" t="s">
        <v>147</v>
      </c>
      <c r="H103" t="s">
        <v>413</v>
      </c>
      <c r="I103" t="s">
        <v>853</v>
      </c>
      <c r="J103" t="s">
        <v>854</v>
      </c>
      <c r="K103" t="s">
        <v>83</v>
      </c>
      <c r="L103" t="s">
        <v>41</v>
      </c>
      <c r="M103" t="s">
        <v>19</v>
      </c>
      <c r="N103" t="s">
        <v>135</v>
      </c>
      <c r="O103" s="5">
        <v>6</v>
      </c>
      <c r="P103" s="16">
        <v>775.5</v>
      </c>
      <c r="Q103" s="2">
        <v>0.1</v>
      </c>
      <c r="R103" s="16">
        <v>543.94000000000005</v>
      </c>
      <c r="S103" t="s">
        <v>35</v>
      </c>
      <c r="T103" t="s">
        <v>23</v>
      </c>
      <c r="U103" t="str">
        <f t="shared" si="18"/>
        <v>Sale</v>
      </c>
      <c r="V103" t="str">
        <f t="shared" si="19"/>
        <v>OK</v>
      </c>
      <c r="W103" s="16">
        <f t="shared" si="20"/>
        <v>4187.7</v>
      </c>
      <c r="X103" s="16">
        <f t="shared" si="21"/>
        <v>3263.6400000000003</v>
      </c>
      <c r="Y103" s="16">
        <f t="shared" si="25"/>
        <v>924.05999999999949</v>
      </c>
      <c r="Z103" s="16">
        <f t="shared" si="22"/>
        <v>0.22066050576688864</v>
      </c>
      <c r="AD103" s="8"/>
    </row>
    <row r="104" spans="1:30" x14ac:dyDescent="0.35">
      <c r="A104" t="s">
        <v>414</v>
      </c>
      <c r="B104" s="1">
        <v>45355</v>
      </c>
      <c r="C104" s="21">
        <f t="shared" si="16"/>
        <v>3</v>
      </c>
      <c r="D104" s="19">
        <f t="shared" si="23"/>
        <v>45352</v>
      </c>
      <c r="E104" s="21">
        <f t="shared" si="17"/>
        <v>2024</v>
      </c>
      <c r="F104" s="3">
        <f t="shared" si="24"/>
        <v>45352</v>
      </c>
      <c r="G104" t="s">
        <v>416</v>
      </c>
      <c r="H104" t="s">
        <v>417</v>
      </c>
      <c r="I104" t="s">
        <v>855</v>
      </c>
      <c r="J104" t="s">
        <v>856</v>
      </c>
      <c r="K104" t="s">
        <v>18</v>
      </c>
      <c r="L104" t="s">
        <v>103</v>
      </c>
      <c r="M104" t="s">
        <v>19</v>
      </c>
      <c r="N104" t="s">
        <v>158</v>
      </c>
      <c r="O104" s="5">
        <v>7</v>
      </c>
      <c r="P104" s="16">
        <v>1342.48</v>
      </c>
      <c r="Q104" s="2">
        <v>0.1</v>
      </c>
      <c r="R104" s="16">
        <v>973.78</v>
      </c>
      <c r="S104" t="s">
        <v>1058</v>
      </c>
      <c r="T104" t="s">
        <v>23</v>
      </c>
      <c r="U104" t="str">
        <f t="shared" si="18"/>
        <v>Sale</v>
      </c>
      <c r="V104" t="str">
        <f t="shared" si="19"/>
        <v>OK</v>
      </c>
      <c r="W104" s="16">
        <f t="shared" si="20"/>
        <v>8457.6240000000016</v>
      </c>
      <c r="X104" s="16">
        <f t="shared" si="21"/>
        <v>6816.46</v>
      </c>
      <c r="Y104" s="16">
        <f t="shared" si="25"/>
        <v>1641.1640000000016</v>
      </c>
      <c r="Z104" s="16">
        <f t="shared" si="22"/>
        <v>0.19404551443762472</v>
      </c>
      <c r="AD104" s="8"/>
    </row>
    <row r="105" spans="1:30" x14ac:dyDescent="0.35">
      <c r="A105" t="s">
        <v>418</v>
      </c>
      <c r="B105" s="1">
        <v>45713</v>
      </c>
      <c r="C105" s="21">
        <f t="shared" si="16"/>
        <v>2</v>
      </c>
      <c r="D105" s="19">
        <f t="shared" si="23"/>
        <v>45689</v>
      </c>
      <c r="E105" s="21">
        <f t="shared" si="17"/>
        <v>2025</v>
      </c>
      <c r="F105" s="3">
        <f t="shared" si="24"/>
        <v>45689</v>
      </c>
      <c r="G105" t="s">
        <v>420</v>
      </c>
      <c r="H105" t="s">
        <v>421</v>
      </c>
      <c r="I105" t="s">
        <v>857</v>
      </c>
      <c r="J105" t="s">
        <v>858</v>
      </c>
      <c r="K105" t="s">
        <v>40</v>
      </c>
      <c r="L105" t="s">
        <v>41</v>
      </c>
      <c r="M105" t="s">
        <v>54</v>
      </c>
      <c r="N105" t="s">
        <v>68</v>
      </c>
      <c r="O105" s="5">
        <v>5</v>
      </c>
      <c r="P105" s="16">
        <v>124.7</v>
      </c>
      <c r="Q105" s="2">
        <v>0.05</v>
      </c>
      <c r="R105" s="16">
        <v>307.88</v>
      </c>
      <c r="S105" t="s">
        <v>1058</v>
      </c>
      <c r="T105" t="s">
        <v>23</v>
      </c>
      <c r="U105" t="str">
        <f t="shared" si="18"/>
        <v>Sale</v>
      </c>
      <c r="V105" t="str">
        <f t="shared" si="19"/>
        <v>OK</v>
      </c>
      <c r="W105" s="16">
        <f t="shared" si="20"/>
        <v>592.32499999999993</v>
      </c>
      <c r="X105" s="16">
        <f t="shared" si="21"/>
        <v>1539.4</v>
      </c>
      <c r="Y105" s="16">
        <f t="shared" si="25"/>
        <v>-947.07500000000016</v>
      </c>
      <c r="Z105" s="16">
        <f t="shared" si="22"/>
        <v>-1.5989110707803997</v>
      </c>
      <c r="AD105" s="8"/>
    </row>
    <row r="106" spans="1:30" x14ac:dyDescent="0.35">
      <c r="A106" t="s">
        <v>422</v>
      </c>
      <c r="B106" s="1">
        <v>45432</v>
      </c>
      <c r="C106" s="21">
        <f t="shared" si="16"/>
        <v>5</v>
      </c>
      <c r="D106" s="19">
        <f t="shared" si="23"/>
        <v>45413</v>
      </c>
      <c r="E106" s="21">
        <f t="shared" si="17"/>
        <v>2024</v>
      </c>
      <c r="F106" s="3">
        <f t="shared" si="24"/>
        <v>45413</v>
      </c>
      <c r="G106" t="s">
        <v>59</v>
      </c>
      <c r="H106" t="s">
        <v>350</v>
      </c>
      <c r="I106" t="s">
        <v>859</v>
      </c>
      <c r="J106" t="s">
        <v>762</v>
      </c>
      <c r="K106" t="s">
        <v>40</v>
      </c>
      <c r="L106" t="s">
        <v>62</v>
      </c>
      <c r="M106" t="s">
        <v>19</v>
      </c>
      <c r="N106" t="s">
        <v>88</v>
      </c>
      <c r="O106" s="5">
        <v>1</v>
      </c>
      <c r="P106" s="16">
        <v>958.08</v>
      </c>
      <c r="Q106" s="2">
        <v>0.2</v>
      </c>
      <c r="R106" s="16">
        <v>801.49</v>
      </c>
      <c r="S106" t="s">
        <v>1058</v>
      </c>
      <c r="T106" t="s">
        <v>23</v>
      </c>
      <c r="U106" t="str">
        <f t="shared" si="18"/>
        <v>Sale</v>
      </c>
      <c r="V106" t="str">
        <f t="shared" si="19"/>
        <v>OK</v>
      </c>
      <c r="W106" s="16">
        <f t="shared" si="20"/>
        <v>766.46400000000006</v>
      </c>
      <c r="X106" s="16">
        <f t="shared" si="21"/>
        <v>801.49</v>
      </c>
      <c r="Y106" s="16">
        <f t="shared" si="25"/>
        <v>-35.025999999999954</v>
      </c>
      <c r="Z106" s="16">
        <f t="shared" si="22"/>
        <v>-4.5698167167668606E-2</v>
      </c>
      <c r="AD106" s="8"/>
    </row>
    <row r="107" spans="1:30" x14ac:dyDescent="0.35">
      <c r="A107" t="s">
        <v>424</v>
      </c>
      <c r="B107" s="1">
        <v>45412</v>
      </c>
      <c r="C107" s="21">
        <f t="shared" si="16"/>
        <v>4</v>
      </c>
      <c r="D107" s="19">
        <f t="shared" si="23"/>
        <v>45383</v>
      </c>
      <c r="E107" s="21">
        <f t="shared" si="17"/>
        <v>2024</v>
      </c>
      <c r="F107" s="3">
        <f t="shared" si="24"/>
        <v>45383</v>
      </c>
      <c r="G107" t="s">
        <v>334</v>
      </c>
      <c r="H107" t="s">
        <v>426</v>
      </c>
      <c r="I107" t="s">
        <v>860</v>
      </c>
      <c r="J107" t="s">
        <v>861</v>
      </c>
      <c r="K107" t="s">
        <v>17</v>
      </c>
      <c r="L107" t="s">
        <v>62</v>
      </c>
      <c r="M107" t="s">
        <v>19</v>
      </c>
      <c r="N107" t="s">
        <v>20</v>
      </c>
      <c r="O107" s="5">
        <v>7</v>
      </c>
      <c r="P107" s="16">
        <v>53.42</v>
      </c>
      <c r="Q107" s="2">
        <v>0.1</v>
      </c>
      <c r="R107" s="16">
        <v>451.02</v>
      </c>
      <c r="S107" t="s">
        <v>22</v>
      </c>
      <c r="T107" t="s">
        <v>23</v>
      </c>
      <c r="U107" t="str">
        <f t="shared" si="18"/>
        <v>Sale</v>
      </c>
      <c r="V107" t="str">
        <f t="shared" si="19"/>
        <v>OK</v>
      </c>
      <c r="W107" s="16">
        <f t="shared" si="20"/>
        <v>336.54599999999999</v>
      </c>
      <c r="X107" s="16">
        <f t="shared" si="21"/>
        <v>3157.14</v>
      </c>
      <c r="Y107" s="16">
        <f t="shared" si="25"/>
        <v>-2820.5940000000001</v>
      </c>
      <c r="Z107" s="16">
        <f t="shared" si="22"/>
        <v>-8.3810058654686141</v>
      </c>
      <c r="AD107" s="8"/>
    </row>
    <row r="108" spans="1:30" x14ac:dyDescent="0.35">
      <c r="A108" t="s">
        <v>427</v>
      </c>
      <c r="B108" s="1">
        <v>45624</v>
      </c>
      <c r="C108" s="21">
        <f t="shared" si="16"/>
        <v>11</v>
      </c>
      <c r="D108" s="19">
        <f t="shared" si="23"/>
        <v>45597</v>
      </c>
      <c r="E108" s="21">
        <f t="shared" si="17"/>
        <v>2024</v>
      </c>
      <c r="F108" s="3">
        <f t="shared" si="24"/>
        <v>45597</v>
      </c>
      <c r="G108" t="s">
        <v>294</v>
      </c>
      <c r="H108" t="s">
        <v>429</v>
      </c>
      <c r="I108" t="s">
        <v>994</v>
      </c>
      <c r="J108" t="s">
        <v>1032</v>
      </c>
      <c r="K108" t="s">
        <v>40</v>
      </c>
      <c r="L108" t="s">
        <v>18</v>
      </c>
      <c r="M108" t="s">
        <v>54</v>
      </c>
      <c r="N108" t="s">
        <v>55</v>
      </c>
      <c r="O108" s="5">
        <v>-2</v>
      </c>
      <c r="P108" s="16">
        <v>283.14</v>
      </c>
      <c r="Q108" s="2">
        <v>0</v>
      </c>
      <c r="R108" s="16">
        <v>913.72</v>
      </c>
      <c r="S108" t="s">
        <v>35</v>
      </c>
      <c r="T108" t="s">
        <v>56</v>
      </c>
      <c r="U108" t="str">
        <f t="shared" si="18"/>
        <v>Return</v>
      </c>
      <c r="V108" t="str">
        <f t="shared" si="19"/>
        <v>OK</v>
      </c>
      <c r="W108" s="16">
        <f t="shared" si="20"/>
        <v>-566.28</v>
      </c>
      <c r="X108" s="16">
        <f t="shared" si="21"/>
        <v>-1827.44</v>
      </c>
      <c r="Y108" s="16">
        <f t="shared" si="25"/>
        <v>1261.1600000000001</v>
      </c>
      <c r="Z108" s="16">
        <f t="shared" si="22"/>
        <v>-2.2270961361870456</v>
      </c>
      <c r="AD108" s="8"/>
    </row>
    <row r="109" spans="1:30" x14ac:dyDescent="0.35">
      <c r="A109" t="s">
        <v>430</v>
      </c>
      <c r="B109" s="1">
        <v>45361</v>
      </c>
      <c r="C109" s="21">
        <f t="shared" si="16"/>
        <v>3</v>
      </c>
      <c r="D109" s="19">
        <f t="shared" si="23"/>
        <v>45352</v>
      </c>
      <c r="E109" s="21">
        <f t="shared" si="17"/>
        <v>2024</v>
      </c>
      <c r="F109" s="3">
        <f t="shared" si="24"/>
        <v>45352</v>
      </c>
      <c r="G109" t="s">
        <v>432</v>
      </c>
      <c r="H109" t="s">
        <v>433</v>
      </c>
      <c r="I109" t="s">
        <v>791</v>
      </c>
      <c r="J109" t="s">
        <v>862</v>
      </c>
      <c r="K109" t="s">
        <v>17</v>
      </c>
      <c r="L109" t="s">
        <v>62</v>
      </c>
      <c r="M109" t="s">
        <v>19</v>
      </c>
      <c r="N109" t="s">
        <v>20</v>
      </c>
      <c r="O109" s="5">
        <v>15</v>
      </c>
      <c r="P109" s="16">
        <v>1495.91</v>
      </c>
      <c r="Q109" s="2">
        <v>0.1</v>
      </c>
      <c r="R109" s="16">
        <v>967.63</v>
      </c>
      <c r="S109" t="s">
        <v>35</v>
      </c>
      <c r="T109" t="s">
        <v>23</v>
      </c>
      <c r="U109" t="str">
        <f t="shared" si="18"/>
        <v>Sale</v>
      </c>
      <c r="V109" t="str">
        <f t="shared" si="19"/>
        <v>OK</v>
      </c>
      <c r="W109" s="16">
        <f t="shared" si="20"/>
        <v>20194.785000000003</v>
      </c>
      <c r="X109" s="16">
        <f t="shared" si="21"/>
        <v>14514.45</v>
      </c>
      <c r="Y109" s="16">
        <f t="shared" si="25"/>
        <v>5680.3350000000028</v>
      </c>
      <c r="Z109" s="16">
        <f t="shared" si="22"/>
        <v>0.28127731986252896</v>
      </c>
      <c r="AD109" s="8"/>
    </row>
    <row r="110" spans="1:30" x14ac:dyDescent="0.35">
      <c r="A110" t="s">
        <v>434</v>
      </c>
      <c r="B110" s="1">
        <v>45698</v>
      </c>
      <c r="C110" s="21">
        <f t="shared" si="16"/>
        <v>2</v>
      </c>
      <c r="D110" s="19">
        <f t="shared" si="23"/>
        <v>45689</v>
      </c>
      <c r="E110" s="21">
        <f t="shared" si="17"/>
        <v>2025</v>
      </c>
      <c r="F110" s="3">
        <f t="shared" si="24"/>
        <v>45689</v>
      </c>
      <c r="G110" t="s">
        <v>334</v>
      </c>
      <c r="H110" t="s">
        <v>436</v>
      </c>
      <c r="I110" t="s">
        <v>863</v>
      </c>
      <c r="J110" t="s">
        <v>864</v>
      </c>
      <c r="K110" t="s">
        <v>40</v>
      </c>
      <c r="L110" t="s">
        <v>62</v>
      </c>
      <c r="M110" t="s">
        <v>19</v>
      </c>
      <c r="N110" t="s">
        <v>135</v>
      </c>
      <c r="O110" s="5">
        <v>4</v>
      </c>
      <c r="P110" s="16">
        <v>358.92</v>
      </c>
      <c r="Q110" s="2">
        <v>0.05</v>
      </c>
      <c r="R110" s="16">
        <v>362.17</v>
      </c>
      <c r="S110" t="s">
        <v>49</v>
      </c>
      <c r="T110" t="s">
        <v>23</v>
      </c>
      <c r="U110" t="str">
        <f t="shared" si="18"/>
        <v>Sale</v>
      </c>
      <c r="V110" t="str">
        <f t="shared" si="19"/>
        <v>OK</v>
      </c>
      <c r="W110" s="16">
        <f t="shared" si="20"/>
        <v>1363.896</v>
      </c>
      <c r="X110" s="16">
        <f t="shared" si="21"/>
        <v>1448.68</v>
      </c>
      <c r="Y110" s="16">
        <f t="shared" si="25"/>
        <v>-84.784000000000106</v>
      </c>
      <c r="Z110" s="16">
        <f t="shared" si="22"/>
        <v>-6.2163097479573305E-2</v>
      </c>
      <c r="AD110" s="8"/>
    </row>
    <row r="111" spans="1:30" x14ac:dyDescent="0.35">
      <c r="A111" t="s">
        <v>437</v>
      </c>
      <c r="B111" s="1">
        <v>45689</v>
      </c>
      <c r="C111" s="21">
        <f t="shared" si="16"/>
        <v>2</v>
      </c>
      <c r="D111" s="19">
        <f t="shared" si="23"/>
        <v>45689</v>
      </c>
      <c r="E111" s="21">
        <f t="shared" si="17"/>
        <v>2025</v>
      </c>
      <c r="F111" s="3">
        <f t="shared" si="24"/>
        <v>45689</v>
      </c>
      <c r="G111" t="s">
        <v>439</v>
      </c>
      <c r="H111" t="s">
        <v>440</v>
      </c>
      <c r="I111" t="s">
        <v>865</v>
      </c>
      <c r="J111" t="s">
        <v>866</v>
      </c>
      <c r="K111" t="s">
        <v>768</v>
      </c>
      <c r="L111" t="s">
        <v>18</v>
      </c>
      <c r="M111" t="s">
        <v>19</v>
      </c>
      <c r="N111" t="s">
        <v>88</v>
      </c>
      <c r="O111" s="5">
        <v>13</v>
      </c>
      <c r="P111" s="16">
        <v>864.48</v>
      </c>
      <c r="Q111" s="2">
        <v>0</v>
      </c>
      <c r="R111" s="16">
        <v>318.39</v>
      </c>
      <c r="S111" t="s">
        <v>22</v>
      </c>
      <c r="T111" t="s">
        <v>23</v>
      </c>
      <c r="U111" t="str">
        <f t="shared" si="18"/>
        <v>Sale</v>
      </c>
      <c r="V111" t="str">
        <f t="shared" si="19"/>
        <v>OK</v>
      </c>
      <c r="W111" s="16">
        <f t="shared" si="20"/>
        <v>11238.24</v>
      </c>
      <c r="X111" s="16">
        <f t="shared" si="21"/>
        <v>4139.07</v>
      </c>
      <c r="Y111" s="16">
        <f t="shared" si="25"/>
        <v>7099.17</v>
      </c>
      <c r="Z111" s="16">
        <f t="shared" si="22"/>
        <v>0.63169766796224325</v>
      </c>
      <c r="AD111" s="8"/>
    </row>
    <row r="112" spans="1:30" x14ac:dyDescent="0.35">
      <c r="A112" t="s">
        <v>441</v>
      </c>
      <c r="B112" s="1">
        <v>45965</v>
      </c>
      <c r="C112" s="21">
        <f t="shared" si="16"/>
        <v>11</v>
      </c>
      <c r="D112" s="19">
        <f t="shared" si="23"/>
        <v>45962</v>
      </c>
      <c r="E112" s="21">
        <f t="shared" si="17"/>
        <v>2025</v>
      </c>
      <c r="F112" s="3">
        <f t="shared" si="24"/>
        <v>45962</v>
      </c>
      <c r="G112" t="s">
        <v>443</v>
      </c>
      <c r="H112" t="s">
        <v>444</v>
      </c>
      <c r="I112" t="s">
        <v>867</v>
      </c>
      <c r="J112" t="s">
        <v>868</v>
      </c>
      <c r="K112" t="s">
        <v>17</v>
      </c>
      <c r="L112" t="s">
        <v>41</v>
      </c>
      <c r="M112" t="s">
        <v>54</v>
      </c>
      <c r="N112" t="s">
        <v>68</v>
      </c>
      <c r="O112" s="5">
        <v>9</v>
      </c>
      <c r="P112" s="16">
        <v>251.16</v>
      </c>
      <c r="Q112" s="2">
        <v>0.1</v>
      </c>
      <c r="R112" s="16">
        <v>709.91</v>
      </c>
      <c r="S112" t="s">
        <v>22</v>
      </c>
      <c r="T112" t="s">
        <v>23</v>
      </c>
      <c r="U112" t="str">
        <f t="shared" si="18"/>
        <v>Sale</v>
      </c>
      <c r="V112" t="str">
        <f t="shared" si="19"/>
        <v>OK</v>
      </c>
      <c r="W112" s="16">
        <f t="shared" si="20"/>
        <v>2034.3960000000002</v>
      </c>
      <c r="X112" s="16">
        <f t="shared" si="21"/>
        <v>6389.19</v>
      </c>
      <c r="Y112" s="16">
        <f t="shared" si="25"/>
        <v>-4354.7939999999999</v>
      </c>
      <c r="Z112" s="16">
        <f t="shared" si="22"/>
        <v>-2.140583249278901</v>
      </c>
      <c r="AD112" s="8"/>
    </row>
    <row r="113" spans="1:30" x14ac:dyDescent="0.35">
      <c r="A113" t="s">
        <v>445</v>
      </c>
      <c r="B113" s="1">
        <v>45576</v>
      </c>
      <c r="C113" s="21">
        <f t="shared" si="16"/>
        <v>10</v>
      </c>
      <c r="D113" s="19">
        <f t="shared" si="23"/>
        <v>45566</v>
      </c>
      <c r="E113" s="21">
        <f t="shared" si="17"/>
        <v>2024</v>
      </c>
      <c r="F113" s="3">
        <f t="shared" si="24"/>
        <v>45566</v>
      </c>
      <c r="G113" t="s">
        <v>97</v>
      </c>
      <c r="H113" t="s">
        <v>446</v>
      </c>
      <c r="I113" t="s">
        <v>803</v>
      </c>
      <c r="J113" t="s">
        <v>869</v>
      </c>
      <c r="K113" t="s">
        <v>47</v>
      </c>
      <c r="L113" t="s">
        <v>103</v>
      </c>
      <c r="M113" t="s">
        <v>19</v>
      </c>
      <c r="N113" t="s">
        <v>158</v>
      </c>
      <c r="O113" s="5">
        <v>3</v>
      </c>
      <c r="P113" s="16">
        <v>873.07</v>
      </c>
      <c r="Q113" s="2">
        <v>0.05</v>
      </c>
      <c r="R113" s="16">
        <v>625.23</v>
      </c>
      <c r="S113" t="s">
        <v>49</v>
      </c>
      <c r="T113" t="s">
        <v>23</v>
      </c>
      <c r="U113" t="str">
        <f t="shared" si="18"/>
        <v>Sale</v>
      </c>
      <c r="V113" t="str">
        <f t="shared" si="19"/>
        <v>OK</v>
      </c>
      <c r="W113" s="16">
        <f t="shared" si="20"/>
        <v>2488.2494999999999</v>
      </c>
      <c r="X113" s="16">
        <f t="shared" si="21"/>
        <v>1875.69</v>
      </c>
      <c r="Y113" s="16">
        <f t="shared" si="25"/>
        <v>612.55949999999984</v>
      </c>
      <c r="Z113" s="16">
        <f t="shared" si="22"/>
        <v>0.24618089946365904</v>
      </c>
      <c r="AD113" s="8"/>
    </row>
    <row r="114" spans="1:30" x14ac:dyDescent="0.35">
      <c r="A114" t="s">
        <v>447</v>
      </c>
      <c r="B114" s="1">
        <v>45625</v>
      </c>
      <c r="C114" s="21">
        <f t="shared" si="16"/>
        <v>11</v>
      </c>
      <c r="D114" s="19">
        <f t="shared" si="23"/>
        <v>45597</v>
      </c>
      <c r="E114" s="21">
        <f t="shared" si="17"/>
        <v>2024</v>
      </c>
      <c r="F114" s="3">
        <f t="shared" si="24"/>
        <v>45597</v>
      </c>
      <c r="G114" t="s">
        <v>449</v>
      </c>
      <c r="H114" t="s">
        <v>450</v>
      </c>
      <c r="I114" t="s">
        <v>859</v>
      </c>
      <c r="J114" t="s">
        <v>870</v>
      </c>
      <c r="K114" t="s">
        <v>40</v>
      </c>
      <c r="L114" t="s">
        <v>18</v>
      </c>
      <c r="M114" t="s">
        <v>28</v>
      </c>
      <c r="N114" t="s">
        <v>63</v>
      </c>
      <c r="O114" s="5">
        <v>10</v>
      </c>
      <c r="P114" s="16">
        <v>960.29</v>
      </c>
      <c r="Q114" s="2">
        <v>0.1</v>
      </c>
      <c r="R114" s="16">
        <v>627.91</v>
      </c>
      <c r="S114" t="s">
        <v>1058</v>
      </c>
      <c r="T114" t="s">
        <v>23</v>
      </c>
      <c r="U114" t="str">
        <f t="shared" si="18"/>
        <v>Sale</v>
      </c>
      <c r="V114" t="str">
        <f t="shared" si="19"/>
        <v>OK</v>
      </c>
      <c r="W114" s="16">
        <f t="shared" si="20"/>
        <v>8642.61</v>
      </c>
      <c r="X114" s="16">
        <f t="shared" si="21"/>
        <v>6279.0999999999995</v>
      </c>
      <c r="Y114" s="16">
        <f t="shared" si="25"/>
        <v>2363.5100000000011</v>
      </c>
      <c r="Z114" s="16">
        <f t="shared" si="22"/>
        <v>0.27347178687919516</v>
      </c>
      <c r="AD114" s="8"/>
    </row>
    <row r="115" spans="1:30" x14ac:dyDescent="0.35">
      <c r="A115" t="s">
        <v>451</v>
      </c>
      <c r="B115" s="1">
        <v>45644</v>
      </c>
      <c r="C115" s="21">
        <f t="shared" si="16"/>
        <v>12</v>
      </c>
      <c r="D115" s="19">
        <f t="shared" si="23"/>
        <v>45627</v>
      </c>
      <c r="E115" s="21">
        <f t="shared" si="17"/>
        <v>2024</v>
      </c>
      <c r="F115" s="3">
        <f t="shared" si="24"/>
        <v>45627</v>
      </c>
      <c r="G115" t="s">
        <v>115</v>
      </c>
      <c r="H115" t="s">
        <v>453</v>
      </c>
      <c r="I115" t="s">
        <v>871</v>
      </c>
      <c r="J115" t="s">
        <v>872</v>
      </c>
      <c r="K115" t="s">
        <v>768</v>
      </c>
      <c r="L115" t="s">
        <v>94</v>
      </c>
      <c r="M115" t="s">
        <v>54</v>
      </c>
      <c r="N115" t="s">
        <v>74</v>
      </c>
      <c r="O115" s="5">
        <v>8</v>
      </c>
      <c r="P115" s="16">
        <v>699.34</v>
      </c>
      <c r="Q115" s="2">
        <v>0.2</v>
      </c>
      <c r="R115" s="16">
        <v>145.38</v>
      </c>
      <c r="S115" t="s">
        <v>22</v>
      </c>
      <c r="T115" t="s">
        <v>23</v>
      </c>
      <c r="U115" t="str">
        <f t="shared" si="18"/>
        <v>Sale</v>
      </c>
      <c r="V115" t="str">
        <f t="shared" si="19"/>
        <v>OK</v>
      </c>
      <c r="W115" s="16">
        <f t="shared" si="20"/>
        <v>4475.7760000000007</v>
      </c>
      <c r="X115" s="16">
        <f t="shared" si="21"/>
        <v>1163.04</v>
      </c>
      <c r="Y115" s="16">
        <f t="shared" si="25"/>
        <v>3312.7360000000008</v>
      </c>
      <c r="Z115" s="16">
        <f t="shared" si="22"/>
        <v>0.74014785369062264</v>
      </c>
      <c r="AD115" s="8"/>
    </row>
    <row r="116" spans="1:30" x14ac:dyDescent="0.35">
      <c r="A116" t="s">
        <v>454</v>
      </c>
      <c r="B116" s="1">
        <v>45346</v>
      </c>
      <c r="C116" s="21">
        <f t="shared" si="16"/>
        <v>2</v>
      </c>
      <c r="D116" s="19">
        <f t="shared" si="23"/>
        <v>45323</v>
      </c>
      <c r="E116" s="21">
        <f t="shared" si="17"/>
        <v>2024</v>
      </c>
      <c r="F116" s="3">
        <f t="shared" si="24"/>
        <v>45323</v>
      </c>
      <c r="G116" t="s">
        <v>200</v>
      </c>
      <c r="H116" t="s">
        <v>456</v>
      </c>
      <c r="I116" t="s">
        <v>873</v>
      </c>
      <c r="J116" t="s">
        <v>874</v>
      </c>
      <c r="K116" t="s">
        <v>40</v>
      </c>
      <c r="L116" t="s">
        <v>41</v>
      </c>
      <c r="M116" t="s">
        <v>28</v>
      </c>
      <c r="N116" t="s">
        <v>153</v>
      </c>
      <c r="O116" s="5">
        <v>5</v>
      </c>
      <c r="P116" s="16">
        <v>215.61</v>
      </c>
      <c r="Q116" s="2">
        <v>0.05</v>
      </c>
      <c r="R116" s="16">
        <v>945.49</v>
      </c>
      <c r="S116" t="s">
        <v>35</v>
      </c>
      <c r="T116" t="s">
        <v>23</v>
      </c>
      <c r="U116" t="str">
        <f t="shared" si="18"/>
        <v>Sale</v>
      </c>
      <c r="V116" t="str">
        <f t="shared" si="19"/>
        <v>OK</v>
      </c>
      <c r="W116" s="16">
        <f t="shared" si="20"/>
        <v>1024.1475</v>
      </c>
      <c r="X116" s="16">
        <f t="shared" si="21"/>
        <v>4727.45</v>
      </c>
      <c r="Y116" s="16">
        <f t="shared" si="25"/>
        <v>-3703.3024999999998</v>
      </c>
      <c r="Z116" s="16">
        <f t="shared" si="22"/>
        <v>-3.6159854903712598</v>
      </c>
      <c r="AD116" s="8"/>
    </row>
    <row r="117" spans="1:30" x14ac:dyDescent="0.35">
      <c r="A117" t="s">
        <v>457</v>
      </c>
      <c r="B117" s="1">
        <v>45555</v>
      </c>
      <c r="C117" s="21">
        <f t="shared" si="16"/>
        <v>9</v>
      </c>
      <c r="D117" s="19">
        <f t="shared" si="23"/>
        <v>45536</v>
      </c>
      <c r="E117" s="21">
        <f t="shared" si="17"/>
        <v>2024</v>
      </c>
      <c r="F117" s="3">
        <f t="shared" si="24"/>
        <v>45536</v>
      </c>
      <c r="G117" t="s">
        <v>459</v>
      </c>
      <c r="H117" t="s">
        <v>460</v>
      </c>
      <c r="I117" t="s">
        <v>888</v>
      </c>
      <c r="J117" t="s">
        <v>740</v>
      </c>
      <c r="K117" t="s">
        <v>47</v>
      </c>
      <c r="L117" t="s">
        <v>41</v>
      </c>
      <c r="M117" t="s">
        <v>19</v>
      </c>
      <c r="N117" t="s">
        <v>88</v>
      </c>
      <c r="O117" s="5">
        <v>-8</v>
      </c>
      <c r="P117" s="16">
        <v>1418.12</v>
      </c>
      <c r="Q117" s="2">
        <v>0.05</v>
      </c>
      <c r="R117" s="16">
        <v>966.75</v>
      </c>
      <c r="S117" t="s">
        <v>1058</v>
      </c>
      <c r="T117" t="s">
        <v>56</v>
      </c>
      <c r="U117" t="str">
        <f t="shared" si="18"/>
        <v>Return</v>
      </c>
      <c r="V117" t="str">
        <f t="shared" si="19"/>
        <v>OK</v>
      </c>
      <c r="W117" s="16">
        <f t="shared" si="20"/>
        <v>-10777.712</v>
      </c>
      <c r="X117" s="16">
        <f t="shared" si="21"/>
        <v>-7734</v>
      </c>
      <c r="Y117" s="16">
        <f t="shared" si="25"/>
        <v>-3043.7119999999995</v>
      </c>
      <c r="Z117" s="16">
        <f t="shared" si="22"/>
        <v>0.28240799160341262</v>
      </c>
      <c r="AD117" s="8"/>
    </row>
    <row r="118" spans="1:30" x14ac:dyDescent="0.35">
      <c r="A118" t="s">
        <v>461</v>
      </c>
      <c r="B118" s="1">
        <v>45725</v>
      </c>
      <c r="C118" s="21">
        <f t="shared" si="16"/>
        <v>3</v>
      </c>
      <c r="D118" s="19">
        <f t="shared" si="23"/>
        <v>45717</v>
      </c>
      <c r="E118" s="21">
        <f t="shared" si="17"/>
        <v>2025</v>
      </c>
      <c r="F118" s="3">
        <f t="shared" si="24"/>
        <v>45717</v>
      </c>
      <c r="G118" t="s">
        <v>101</v>
      </c>
      <c r="H118" t="s">
        <v>463</v>
      </c>
      <c r="I118" t="s">
        <v>755</v>
      </c>
      <c r="J118" t="s">
        <v>770</v>
      </c>
      <c r="K118" t="s">
        <v>83</v>
      </c>
      <c r="L118" t="s">
        <v>41</v>
      </c>
      <c r="M118" t="s">
        <v>19</v>
      </c>
      <c r="N118" t="s">
        <v>20</v>
      </c>
      <c r="O118" s="5">
        <v>3</v>
      </c>
      <c r="P118" s="16">
        <v>1092.6199999999999</v>
      </c>
      <c r="Q118" s="2">
        <v>0.1</v>
      </c>
      <c r="R118" s="16">
        <v>367.21</v>
      </c>
      <c r="S118" t="s">
        <v>35</v>
      </c>
      <c r="T118" t="s">
        <v>23</v>
      </c>
      <c r="U118" t="str">
        <f t="shared" si="18"/>
        <v>Sale</v>
      </c>
      <c r="V118" t="str">
        <f t="shared" si="19"/>
        <v>OK</v>
      </c>
      <c r="W118" s="16">
        <f t="shared" si="20"/>
        <v>2950.0739999999996</v>
      </c>
      <c r="X118" s="16">
        <f t="shared" si="21"/>
        <v>1101.6299999999999</v>
      </c>
      <c r="Y118" s="16">
        <f t="shared" si="25"/>
        <v>1848.4439999999997</v>
      </c>
      <c r="Z118" s="16">
        <f t="shared" si="22"/>
        <v>0.62657546895433813</v>
      </c>
      <c r="AD118" s="8"/>
    </row>
    <row r="119" spans="1:30" x14ac:dyDescent="0.35">
      <c r="A119" t="s">
        <v>464</v>
      </c>
      <c r="B119" s="1">
        <v>45522</v>
      </c>
      <c r="C119" s="21">
        <f t="shared" si="16"/>
        <v>8</v>
      </c>
      <c r="D119" s="19">
        <f t="shared" si="23"/>
        <v>45505</v>
      </c>
      <c r="E119" s="21">
        <f t="shared" si="17"/>
        <v>2024</v>
      </c>
      <c r="F119" s="3">
        <f t="shared" si="24"/>
        <v>45505</v>
      </c>
      <c r="G119" t="s">
        <v>466</v>
      </c>
      <c r="H119" t="s">
        <v>467</v>
      </c>
      <c r="I119" t="s">
        <v>875</v>
      </c>
      <c r="J119" t="s">
        <v>876</v>
      </c>
      <c r="K119" t="s">
        <v>40</v>
      </c>
      <c r="L119" t="s">
        <v>18</v>
      </c>
      <c r="M119" t="s">
        <v>54</v>
      </c>
      <c r="N119" t="s">
        <v>68</v>
      </c>
      <c r="O119" s="5">
        <v>10</v>
      </c>
      <c r="P119" s="16">
        <v>182.62</v>
      </c>
      <c r="Q119" s="2">
        <v>0.1</v>
      </c>
      <c r="R119" s="16">
        <v>395.12</v>
      </c>
      <c r="S119" t="s">
        <v>1058</v>
      </c>
      <c r="T119" t="s">
        <v>23</v>
      </c>
      <c r="U119" t="str">
        <f t="shared" si="18"/>
        <v>Sale</v>
      </c>
      <c r="V119" t="str">
        <f t="shared" si="19"/>
        <v>OK</v>
      </c>
      <c r="W119" s="16">
        <f t="shared" si="20"/>
        <v>1643.5800000000002</v>
      </c>
      <c r="X119" s="16">
        <f t="shared" si="21"/>
        <v>3951.2</v>
      </c>
      <c r="Y119" s="16">
        <f t="shared" si="25"/>
        <v>-2307.62</v>
      </c>
      <c r="Z119" s="16">
        <f t="shared" si="22"/>
        <v>-1.4040204918531496</v>
      </c>
      <c r="AD119" s="8"/>
    </row>
    <row r="120" spans="1:30" x14ac:dyDescent="0.35">
      <c r="A120" t="s">
        <v>468</v>
      </c>
      <c r="B120" s="1">
        <v>45599</v>
      </c>
      <c r="C120" s="21">
        <f t="shared" si="16"/>
        <v>11</v>
      </c>
      <c r="D120" s="19">
        <f t="shared" si="23"/>
        <v>45597</v>
      </c>
      <c r="E120" s="21">
        <f t="shared" si="17"/>
        <v>2024</v>
      </c>
      <c r="F120" s="3">
        <f t="shared" si="24"/>
        <v>45597</v>
      </c>
      <c r="G120" t="s">
        <v>115</v>
      </c>
      <c r="H120" t="s">
        <v>470</v>
      </c>
      <c r="I120" t="s">
        <v>805</v>
      </c>
      <c r="J120" t="s">
        <v>1033</v>
      </c>
      <c r="K120" t="s">
        <v>18</v>
      </c>
      <c r="L120" t="s">
        <v>62</v>
      </c>
      <c r="M120" t="s">
        <v>19</v>
      </c>
      <c r="N120" t="s">
        <v>20</v>
      </c>
      <c r="O120" s="5">
        <v>9</v>
      </c>
      <c r="P120" s="16">
        <v>911.36</v>
      </c>
      <c r="Q120" s="2">
        <v>0.05</v>
      </c>
      <c r="R120" s="16">
        <v>329.31</v>
      </c>
      <c r="S120" t="s">
        <v>35</v>
      </c>
      <c r="T120" t="s">
        <v>56</v>
      </c>
      <c r="U120" t="str">
        <f t="shared" si="18"/>
        <v>Sale</v>
      </c>
      <c r="V120" t="str">
        <f t="shared" si="19"/>
        <v>Check</v>
      </c>
      <c r="W120" s="16">
        <f t="shared" si="20"/>
        <v>7792.1279999999997</v>
      </c>
      <c r="X120" s="16">
        <f t="shared" si="21"/>
        <v>2963.79</v>
      </c>
      <c r="Y120" s="16">
        <f t="shared" si="25"/>
        <v>4828.3379999999997</v>
      </c>
      <c r="Z120" s="16">
        <f t="shared" si="22"/>
        <v>0.61964305514488471</v>
      </c>
      <c r="AD120" s="8"/>
    </row>
    <row r="121" spans="1:30" x14ac:dyDescent="0.35">
      <c r="A121" t="s">
        <v>471</v>
      </c>
      <c r="B121" s="1">
        <v>45535</v>
      </c>
      <c r="C121" s="21">
        <f t="shared" si="16"/>
        <v>8</v>
      </c>
      <c r="D121" s="19">
        <f t="shared" si="23"/>
        <v>45505</v>
      </c>
      <c r="E121" s="21">
        <f t="shared" si="17"/>
        <v>2024</v>
      </c>
      <c r="F121" s="3">
        <f t="shared" si="24"/>
        <v>45505</v>
      </c>
      <c r="G121" t="s">
        <v>955</v>
      </c>
      <c r="H121" t="s">
        <v>473</v>
      </c>
      <c r="I121" t="s">
        <v>824</v>
      </c>
      <c r="J121" t="s">
        <v>877</v>
      </c>
      <c r="K121" t="s">
        <v>40</v>
      </c>
      <c r="L121" t="s">
        <v>41</v>
      </c>
      <c r="M121" t="s">
        <v>28</v>
      </c>
      <c r="N121" t="s">
        <v>63</v>
      </c>
      <c r="O121" s="5">
        <v>11</v>
      </c>
      <c r="P121" s="16">
        <v>627.73</v>
      </c>
      <c r="Q121" s="2">
        <v>0.2</v>
      </c>
      <c r="R121" s="16">
        <v>898.97</v>
      </c>
      <c r="S121" t="s">
        <v>22</v>
      </c>
      <c r="T121" t="s">
        <v>23</v>
      </c>
      <c r="U121" t="str">
        <f t="shared" si="18"/>
        <v>Sale</v>
      </c>
      <c r="V121" t="str">
        <f t="shared" si="19"/>
        <v>OK</v>
      </c>
      <c r="W121" s="16">
        <f t="shared" si="20"/>
        <v>5524.0240000000013</v>
      </c>
      <c r="X121" s="16">
        <f t="shared" si="21"/>
        <v>9888.67</v>
      </c>
      <c r="Y121" s="16">
        <f t="shared" si="25"/>
        <v>-4364.6459999999988</v>
      </c>
      <c r="Z121" s="16">
        <f t="shared" si="22"/>
        <v>-0.79012075255284875</v>
      </c>
      <c r="AD121" s="8"/>
    </row>
    <row r="122" spans="1:30" x14ac:dyDescent="0.35">
      <c r="A122" t="s">
        <v>474</v>
      </c>
      <c r="B122" s="1">
        <v>45379</v>
      </c>
      <c r="C122" s="21">
        <f t="shared" si="16"/>
        <v>3</v>
      </c>
      <c r="D122" s="19">
        <f t="shared" si="23"/>
        <v>45352</v>
      </c>
      <c r="E122" s="21">
        <f t="shared" si="17"/>
        <v>2024</v>
      </c>
      <c r="F122" s="3">
        <f t="shared" si="24"/>
        <v>45352</v>
      </c>
      <c r="G122" t="s">
        <v>476</v>
      </c>
      <c r="H122" t="s">
        <v>477</v>
      </c>
      <c r="I122" t="s">
        <v>822</v>
      </c>
      <c r="J122" t="s">
        <v>878</v>
      </c>
      <c r="K122" t="s">
        <v>40</v>
      </c>
      <c r="L122" t="s">
        <v>41</v>
      </c>
      <c r="M122" t="s">
        <v>28</v>
      </c>
      <c r="N122" t="s">
        <v>63</v>
      </c>
      <c r="O122" s="5">
        <v>13</v>
      </c>
      <c r="P122" s="16">
        <v>225.92</v>
      </c>
      <c r="Q122" s="2">
        <v>0.2</v>
      </c>
      <c r="R122" s="16">
        <v>33.51</v>
      </c>
      <c r="S122" t="s">
        <v>1058</v>
      </c>
      <c r="T122" t="s">
        <v>23</v>
      </c>
      <c r="U122" t="str">
        <f t="shared" si="18"/>
        <v>Sale</v>
      </c>
      <c r="V122" t="str">
        <f t="shared" si="19"/>
        <v>OK</v>
      </c>
      <c r="W122" s="16">
        <f t="shared" si="20"/>
        <v>2349.5680000000002</v>
      </c>
      <c r="X122" s="16">
        <f t="shared" si="21"/>
        <v>435.63</v>
      </c>
      <c r="Y122" s="16">
        <f t="shared" si="25"/>
        <v>1913.9380000000001</v>
      </c>
      <c r="Z122" s="16">
        <f t="shared" si="22"/>
        <v>0.81459144830028329</v>
      </c>
      <c r="AD122" s="8"/>
    </row>
    <row r="123" spans="1:30" x14ac:dyDescent="0.35">
      <c r="A123" t="s">
        <v>478</v>
      </c>
      <c r="B123" s="1">
        <v>45396</v>
      </c>
      <c r="C123" s="21">
        <f t="shared" si="16"/>
        <v>4</v>
      </c>
      <c r="D123" s="19">
        <f t="shared" si="23"/>
        <v>45383</v>
      </c>
      <c r="E123" s="21">
        <f t="shared" si="17"/>
        <v>2024</v>
      </c>
      <c r="F123" s="3">
        <f t="shared" si="24"/>
        <v>45383</v>
      </c>
      <c r="G123" t="s">
        <v>133</v>
      </c>
      <c r="H123" t="s">
        <v>480</v>
      </c>
      <c r="I123" t="s">
        <v>879</v>
      </c>
      <c r="J123" t="s">
        <v>880</v>
      </c>
      <c r="K123" t="s">
        <v>40</v>
      </c>
      <c r="L123" t="s">
        <v>62</v>
      </c>
      <c r="M123" t="s">
        <v>54</v>
      </c>
      <c r="N123" t="s">
        <v>68</v>
      </c>
      <c r="O123" s="5">
        <v>15</v>
      </c>
      <c r="P123" s="16">
        <v>1273.32</v>
      </c>
      <c r="Q123" s="2">
        <v>0.05</v>
      </c>
      <c r="R123" s="16">
        <v>706.36</v>
      </c>
      <c r="S123" t="s">
        <v>1058</v>
      </c>
      <c r="T123" t="s">
        <v>23</v>
      </c>
      <c r="U123" t="str">
        <f t="shared" si="18"/>
        <v>Sale</v>
      </c>
      <c r="V123" t="str">
        <f t="shared" si="19"/>
        <v>OK</v>
      </c>
      <c r="W123" s="16">
        <f t="shared" si="20"/>
        <v>18144.809999999998</v>
      </c>
      <c r="X123" s="16">
        <f t="shared" si="21"/>
        <v>10595.4</v>
      </c>
      <c r="Y123" s="16">
        <f t="shared" si="25"/>
        <v>7549.409999999998</v>
      </c>
      <c r="Z123" s="16">
        <f t="shared" si="22"/>
        <v>0.41606442834066593</v>
      </c>
      <c r="AD123" s="8"/>
    </row>
    <row r="124" spans="1:30" x14ac:dyDescent="0.35">
      <c r="A124" t="s">
        <v>481</v>
      </c>
      <c r="B124" s="1">
        <v>45995</v>
      </c>
      <c r="C124" s="21">
        <f t="shared" si="16"/>
        <v>12</v>
      </c>
      <c r="D124" s="19">
        <f t="shared" si="23"/>
        <v>45992</v>
      </c>
      <c r="E124" s="21">
        <f t="shared" si="17"/>
        <v>2025</v>
      </c>
      <c r="F124" s="3">
        <f t="shared" si="24"/>
        <v>45992</v>
      </c>
      <c r="G124" t="s">
        <v>409</v>
      </c>
      <c r="H124" t="s">
        <v>483</v>
      </c>
      <c r="I124" t="s">
        <v>881</v>
      </c>
      <c r="J124" t="s">
        <v>882</v>
      </c>
      <c r="K124" t="s">
        <v>83</v>
      </c>
      <c r="L124" t="s">
        <v>41</v>
      </c>
      <c r="M124" t="s">
        <v>19</v>
      </c>
      <c r="N124" t="s">
        <v>88</v>
      </c>
      <c r="O124" s="5">
        <v>11</v>
      </c>
      <c r="P124" s="16">
        <v>1082.78</v>
      </c>
      <c r="Q124" s="2">
        <v>0.05</v>
      </c>
      <c r="R124" s="16">
        <v>693.93</v>
      </c>
      <c r="S124" t="s">
        <v>35</v>
      </c>
      <c r="T124" t="s">
        <v>23</v>
      </c>
      <c r="U124" t="str">
        <f t="shared" si="18"/>
        <v>Sale</v>
      </c>
      <c r="V124" t="str">
        <f t="shared" si="19"/>
        <v>OK</v>
      </c>
      <c r="W124" s="16">
        <f t="shared" si="20"/>
        <v>11315.050999999999</v>
      </c>
      <c r="X124" s="16">
        <f t="shared" si="21"/>
        <v>7633.23</v>
      </c>
      <c r="Y124" s="16">
        <f t="shared" si="25"/>
        <v>3681.8209999999999</v>
      </c>
      <c r="Z124" s="16">
        <f t="shared" si="22"/>
        <v>0.32539146310520384</v>
      </c>
      <c r="AD124" s="8"/>
    </row>
    <row r="125" spans="1:30" x14ac:dyDescent="0.35">
      <c r="A125" t="s">
        <v>484</v>
      </c>
      <c r="B125" s="1">
        <v>45652</v>
      </c>
      <c r="C125" s="21">
        <f t="shared" si="16"/>
        <v>12</v>
      </c>
      <c r="D125" s="19">
        <f t="shared" si="23"/>
        <v>45627</v>
      </c>
      <c r="E125" s="21">
        <f t="shared" si="17"/>
        <v>2024</v>
      </c>
      <c r="F125" s="3">
        <f t="shared" si="24"/>
        <v>45627</v>
      </c>
      <c r="G125" t="s">
        <v>486</v>
      </c>
      <c r="H125" t="s">
        <v>487</v>
      </c>
      <c r="I125" t="s">
        <v>883</v>
      </c>
      <c r="J125" t="s">
        <v>884</v>
      </c>
      <c r="K125" t="s">
        <v>47</v>
      </c>
      <c r="L125" t="s">
        <v>94</v>
      </c>
      <c r="M125" t="s">
        <v>19</v>
      </c>
      <c r="N125" t="s">
        <v>158</v>
      </c>
      <c r="O125" s="5">
        <v>12</v>
      </c>
      <c r="P125" s="16">
        <v>722.31</v>
      </c>
      <c r="Q125" s="2">
        <v>0.2</v>
      </c>
      <c r="R125" s="16">
        <v>934.62</v>
      </c>
      <c r="S125" t="s">
        <v>35</v>
      </c>
      <c r="T125" t="s">
        <v>23</v>
      </c>
      <c r="U125" t="str">
        <f t="shared" si="18"/>
        <v>Sale</v>
      </c>
      <c r="V125" t="str">
        <f t="shared" si="19"/>
        <v>OK</v>
      </c>
      <c r="W125" s="16">
        <f t="shared" si="20"/>
        <v>6934.1759999999995</v>
      </c>
      <c r="X125" s="16">
        <f t="shared" si="21"/>
        <v>11215.44</v>
      </c>
      <c r="Y125" s="16">
        <f t="shared" si="25"/>
        <v>-4281.264000000001</v>
      </c>
      <c r="Z125" s="16">
        <f t="shared" si="22"/>
        <v>-0.61741496033559018</v>
      </c>
      <c r="AD125" s="8"/>
    </row>
    <row r="126" spans="1:30" x14ac:dyDescent="0.35">
      <c r="A126" t="s">
        <v>488</v>
      </c>
      <c r="B126" s="1">
        <v>45439</v>
      </c>
      <c r="C126" s="21">
        <f t="shared" si="16"/>
        <v>5</v>
      </c>
      <c r="D126" s="19">
        <f t="shared" si="23"/>
        <v>45413</v>
      </c>
      <c r="E126" s="21">
        <f t="shared" si="17"/>
        <v>2024</v>
      </c>
      <c r="F126" s="3">
        <f t="shared" si="24"/>
        <v>45413</v>
      </c>
      <c r="G126" t="s">
        <v>175</v>
      </c>
      <c r="H126" t="s">
        <v>490</v>
      </c>
      <c r="I126" t="s">
        <v>885</v>
      </c>
      <c r="J126" t="s">
        <v>836</v>
      </c>
      <c r="K126" t="s">
        <v>18</v>
      </c>
      <c r="L126" t="s">
        <v>18</v>
      </c>
      <c r="M126" t="s">
        <v>19</v>
      </c>
      <c r="N126" t="s">
        <v>20</v>
      </c>
      <c r="O126" s="5">
        <v>15</v>
      </c>
      <c r="P126" s="16">
        <v>388.38</v>
      </c>
      <c r="Q126" s="2">
        <v>0.05</v>
      </c>
      <c r="R126" s="16">
        <v>203.66</v>
      </c>
      <c r="S126" t="s">
        <v>49</v>
      </c>
      <c r="T126" t="s">
        <v>23</v>
      </c>
      <c r="U126" t="str">
        <f t="shared" si="18"/>
        <v>Sale</v>
      </c>
      <c r="V126" t="str">
        <f t="shared" si="19"/>
        <v>OK</v>
      </c>
      <c r="W126" s="16">
        <f t="shared" si="20"/>
        <v>5534.415</v>
      </c>
      <c r="X126" s="16">
        <f t="shared" si="21"/>
        <v>3054.9</v>
      </c>
      <c r="Y126" s="16">
        <f t="shared" si="25"/>
        <v>2479.5149999999999</v>
      </c>
      <c r="Z126" s="16">
        <f t="shared" si="22"/>
        <v>0.44801754114933556</v>
      </c>
      <c r="AD126" s="8"/>
    </row>
    <row r="127" spans="1:30" x14ac:dyDescent="0.35">
      <c r="A127" t="s">
        <v>491</v>
      </c>
      <c r="B127" s="1">
        <v>45634</v>
      </c>
      <c r="C127" s="21">
        <f t="shared" si="16"/>
        <v>12</v>
      </c>
      <c r="D127" s="19">
        <f t="shared" si="23"/>
        <v>45627</v>
      </c>
      <c r="E127" s="21">
        <f t="shared" si="17"/>
        <v>2024</v>
      </c>
      <c r="F127" s="3">
        <f t="shared" si="24"/>
        <v>45627</v>
      </c>
      <c r="G127" t="s">
        <v>493</v>
      </c>
      <c r="H127" t="s">
        <v>494</v>
      </c>
      <c r="I127" t="s">
        <v>803</v>
      </c>
      <c r="J127" t="s">
        <v>1034</v>
      </c>
      <c r="K127" t="s">
        <v>40</v>
      </c>
      <c r="L127" t="s">
        <v>94</v>
      </c>
      <c r="M127" t="s">
        <v>19</v>
      </c>
      <c r="N127" t="s">
        <v>20</v>
      </c>
      <c r="O127" s="5">
        <v>4</v>
      </c>
      <c r="P127" s="16">
        <v>622.89</v>
      </c>
      <c r="Q127" s="2">
        <v>0.05</v>
      </c>
      <c r="R127" s="16">
        <v>102.34</v>
      </c>
      <c r="S127" t="s">
        <v>1058</v>
      </c>
      <c r="T127" t="s">
        <v>56</v>
      </c>
      <c r="U127" t="str">
        <f t="shared" si="18"/>
        <v>Sale</v>
      </c>
      <c r="V127" t="str">
        <f t="shared" si="19"/>
        <v>Check</v>
      </c>
      <c r="W127" s="16">
        <f t="shared" si="20"/>
        <v>2366.982</v>
      </c>
      <c r="X127" s="16">
        <f t="shared" si="21"/>
        <v>409.36</v>
      </c>
      <c r="Y127" s="16">
        <f t="shared" si="25"/>
        <v>1957.6219999999998</v>
      </c>
      <c r="Z127" s="16">
        <f t="shared" si="22"/>
        <v>0.827054029139216</v>
      </c>
      <c r="AD127" s="8"/>
    </row>
    <row r="128" spans="1:30" x14ac:dyDescent="0.35">
      <c r="A128" t="s">
        <v>495</v>
      </c>
      <c r="B128" s="1">
        <v>45456</v>
      </c>
      <c r="C128" s="21">
        <f t="shared" si="16"/>
        <v>6</v>
      </c>
      <c r="D128" s="19">
        <f t="shared" si="23"/>
        <v>45444</v>
      </c>
      <c r="E128" s="21">
        <f t="shared" si="17"/>
        <v>2024</v>
      </c>
      <c r="F128" s="3">
        <f t="shared" si="24"/>
        <v>45444</v>
      </c>
      <c r="G128" t="s">
        <v>147</v>
      </c>
      <c r="H128" t="s">
        <v>497</v>
      </c>
      <c r="I128" t="s">
        <v>886</v>
      </c>
      <c r="J128" t="s">
        <v>887</v>
      </c>
      <c r="K128" t="s">
        <v>40</v>
      </c>
      <c r="L128" t="s">
        <v>94</v>
      </c>
      <c r="M128" t="s">
        <v>19</v>
      </c>
      <c r="N128" t="s">
        <v>158</v>
      </c>
      <c r="O128" s="5">
        <v>1</v>
      </c>
      <c r="P128" s="16">
        <v>138.74</v>
      </c>
      <c r="Q128" s="2">
        <v>0.2</v>
      </c>
      <c r="R128" s="16">
        <v>536.08000000000004</v>
      </c>
      <c r="S128" t="s">
        <v>22</v>
      </c>
      <c r="T128" t="s">
        <v>23</v>
      </c>
      <c r="U128" t="str">
        <f t="shared" si="18"/>
        <v>Sale</v>
      </c>
      <c r="V128" t="str">
        <f t="shared" si="19"/>
        <v>OK</v>
      </c>
      <c r="W128" s="16">
        <f t="shared" si="20"/>
        <v>110.99200000000002</v>
      </c>
      <c r="X128" s="16">
        <f t="shared" si="21"/>
        <v>536.08000000000004</v>
      </c>
      <c r="Y128" s="16">
        <f t="shared" si="25"/>
        <v>-425.08800000000002</v>
      </c>
      <c r="Z128" s="16">
        <f t="shared" si="22"/>
        <v>-3.8298976502811009</v>
      </c>
      <c r="AD128" s="8"/>
    </row>
    <row r="129" spans="1:30" x14ac:dyDescent="0.35">
      <c r="A129" t="s">
        <v>498</v>
      </c>
      <c r="B129" s="1">
        <v>45416</v>
      </c>
      <c r="C129" s="21">
        <f t="shared" si="16"/>
        <v>5</v>
      </c>
      <c r="D129" s="19">
        <f t="shared" si="23"/>
        <v>45413</v>
      </c>
      <c r="E129" s="21">
        <f t="shared" si="17"/>
        <v>2024</v>
      </c>
      <c r="F129" s="3">
        <f t="shared" si="24"/>
        <v>45413</v>
      </c>
      <c r="G129" t="s">
        <v>106</v>
      </c>
      <c r="H129" t="s">
        <v>480</v>
      </c>
      <c r="I129" t="s">
        <v>879</v>
      </c>
      <c r="J129" t="s">
        <v>880</v>
      </c>
      <c r="K129" t="s">
        <v>40</v>
      </c>
      <c r="L129" t="s">
        <v>18</v>
      </c>
      <c r="M129" t="s">
        <v>54</v>
      </c>
      <c r="N129" t="s">
        <v>55</v>
      </c>
      <c r="O129" s="5">
        <v>15</v>
      </c>
      <c r="P129" s="16">
        <v>61.01</v>
      </c>
      <c r="Q129" s="2">
        <v>0.1</v>
      </c>
      <c r="R129" s="16">
        <v>603.58000000000004</v>
      </c>
      <c r="S129" t="s">
        <v>1058</v>
      </c>
      <c r="T129" t="s">
        <v>23</v>
      </c>
      <c r="U129" t="str">
        <f t="shared" si="18"/>
        <v>Sale</v>
      </c>
      <c r="V129" t="str">
        <f t="shared" si="19"/>
        <v>OK</v>
      </c>
      <c r="W129" s="16">
        <f t="shared" si="20"/>
        <v>823.63499999999999</v>
      </c>
      <c r="X129" s="16">
        <f t="shared" si="21"/>
        <v>9053.7000000000007</v>
      </c>
      <c r="Y129" s="16">
        <f t="shared" si="25"/>
        <v>-8230.0650000000005</v>
      </c>
      <c r="Z129" s="16">
        <f t="shared" si="22"/>
        <v>-9.9923691926642277</v>
      </c>
      <c r="AD129" s="8"/>
    </row>
    <row r="130" spans="1:30" x14ac:dyDescent="0.35">
      <c r="A130" t="s">
        <v>500</v>
      </c>
      <c r="B130" s="1">
        <v>45461</v>
      </c>
      <c r="C130" s="21">
        <f t="shared" si="16"/>
        <v>6</v>
      </c>
      <c r="D130" s="19">
        <f t="shared" ref="D130:D161" si="26">DATE(YEAR(B130),MONTH(B130),DAY(1))</f>
        <v>45444</v>
      </c>
      <c r="E130" s="21">
        <f t="shared" si="17"/>
        <v>2024</v>
      </c>
      <c r="F130" s="3">
        <f t="shared" ref="F130:F161" si="27">DATE(YEAR(B130),MONTH(B130),DAY(1))</f>
        <v>45444</v>
      </c>
      <c r="G130" t="s">
        <v>77</v>
      </c>
      <c r="H130" t="s">
        <v>502</v>
      </c>
      <c r="I130" t="s">
        <v>875</v>
      </c>
      <c r="J130" t="s">
        <v>1035</v>
      </c>
      <c r="K130" t="s">
        <v>83</v>
      </c>
      <c r="L130" t="s">
        <v>18</v>
      </c>
      <c r="M130" t="s">
        <v>19</v>
      </c>
      <c r="N130" t="s">
        <v>20</v>
      </c>
      <c r="O130" s="5">
        <v>8</v>
      </c>
      <c r="P130" s="16">
        <v>0</v>
      </c>
      <c r="Q130" s="2">
        <v>0.1</v>
      </c>
      <c r="R130" s="16">
        <v>338.44</v>
      </c>
      <c r="S130" t="s">
        <v>1058</v>
      </c>
      <c r="T130" t="s">
        <v>56</v>
      </c>
      <c r="U130" t="str">
        <f t="shared" si="18"/>
        <v>Sale</v>
      </c>
      <c r="V130" t="str">
        <f t="shared" si="19"/>
        <v>Check</v>
      </c>
      <c r="W130" s="16">
        <f t="shared" si="20"/>
        <v>0</v>
      </c>
      <c r="X130" s="16">
        <f t="shared" si="21"/>
        <v>2707.52</v>
      </c>
      <c r="Y130" s="16">
        <f t="shared" ref="Y130:Y161" si="28">W130-X130</f>
        <v>-2707.52</v>
      </c>
      <c r="Z130" s="16" t="str">
        <f t="shared" si="22"/>
        <v xml:space="preserve"> </v>
      </c>
      <c r="AD130" s="8"/>
    </row>
    <row r="131" spans="1:30" x14ac:dyDescent="0.35">
      <c r="A131" t="s">
        <v>503</v>
      </c>
      <c r="B131" s="1">
        <v>45336</v>
      </c>
      <c r="C131" s="21">
        <f t="shared" ref="C131:C194" si="29">MONTH(B131)</f>
        <v>2</v>
      </c>
      <c r="D131" s="19">
        <f t="shared" si="26"/>
        <v>45323</v>
      </c>
      <c r="E131" s="21">
        <f t="shared" ref="E131:E194" si="30">YEAR(B131)</f>
        <v>2024</v>
      </c>
      <c r="F131" s="3">
        <f t="shared" si="27"/>
        <v>45323</v>
      </c>
      <c r="G131" t="s">
        <v>81</v>
      </c>
      <c r="H131" t="s">
        <v>974</v>
      </c>
      <c r="I131" t="s">
        <v>745</v>
      </c>
      <c r="J131" t="s">
        <v>1036</v>
      </c>
      <c r="K131" t="s">
        <v>768</v>
      </c>
      <c r="L131" t="s">
        <v>41</v>
      </c>
      <c r="M131" t="s">
        <v>28</v>
      </c>
      <c r="N131" t="s">
        <v>63</v>
      </c>
      <c r="O131" s="5">
        <v>3</v>
      </c>
      <c r="P131" s="16">
        <v>0</v>
      </c>
      <c r="Q131" s="2">
        <v>0.1</v>
      </c>
      <c r="R131" s="16">
        <v>384.81</v>
      </c>
      <c r="S131" t="s">
        <v>49</v>
      </c>
      <c r="T131" t="s">
        <v>23</v>
      </c>
      <c r="U131" t="str">
        <f t="shared" ref="U131:U194" si="31">IF(O131&lt;0,"Return","Sale")</f>
        <v>Sale</v>
      </c>
      <c r="V131" t="str">
        <f t="shared" ref="V131:V194" si="32">IF(AND(T131="Cancelled",U131="Sale"),"Check","OK")</f>
        <v>OK</v>
      </c>
      <c r="W131" s="16">
        <f t="shared" ref="W131:W194" si="33">(P131 * O131) * (1 - Q131)</f>
        <v>0</v>
      </c>
      <c r="X131" s="16">
        <f t="shared" ref="X131:X194" si="34">R131*O131</f>
        <v>1154.43</v>
      </c>
      <c r="Y131" s="16">
        <f t="shared" si="28"/>
        <v>-1154.43</v>
      </c>
      <c r="Z131" s="16" t="str">
        <f t="shared" ref="Z131:Z194" si="35">IFERROR(Y131/W131, " ")</f>
        <v xml:space="preserve"> </v>
      </c>
      <c r="AD131" s="8"/>
    </row>
    <row r="132" spans="1:30" x14ac:dyDescent="0.35">
      <c r="A132" t="s">
        <v>506</v>
      </c>
      <c r="B132" s="1">
        <v>45323</v>
      </c>
      <c r="C132" s="21">
        <f t="shared" si="29"/>
        <v>2</v>
      </c>
      <c r="D132" s="19">
        <f t="shared" si="26"/>
        <v>45323</v>
      </c>
      <c r="E132" s="21">
        <f t="shared" si="30"/>
        <v>2024</v>
      </c>
      <c r="F132" s="3">
        <f t="shared" si="27"/>
        <v>45323</v>
      </c>
      <c r="G132" t="s">
        <v>416</v>
      </c>
      <c r="H132" t="s">
        <v>508</v>
      </c>
      <c r="I132" t="s">
        <v>888</v>
      </c>
      <c r="J132" t="s">
        <v>889</v>
      </c>
      <c r="K132" t="s">
        <v>18</v>
      </c>
      <c r="L132" t="s">
        <v>41</v>
      </c>
      <c r="M132" t="s">
        <v>19</v>
      </c>
      <c r="N132" t="s">
        <v>135</v>
      </c>
      <c r="O132" s="5">
        <v>3</v>
      </c>
      <c r="P132" s="16">
        <v>756.27</v>
      </c>
      <c r="Q132" s="2">
        <v>0.1</v>
      </c>
      <c r="R132" s="16">
        <v>704.15</v>
      </c>
      <c r="S132" t="s">
        <v>22</v>
      </c>
      <c r="T132" t="s">
        <v>23</v>
      </c>
      <c r="U132" t="str">
        <f t="shared" si="31"/>
        <v>Sale</v>
      </c>
      <c r="V132" t="str">
        <f t="shared" si="32"/>
        <v>OK</v>
      </c>
      <c r="W132" s="16">
        <f t="shared" si="33"/>
        <v>2041.9290000000001</v>
      </c>
      <c r="X132" s="16">
        <f t="shared" si="34"/>
        <v>2112.4499999999998</v>
      </c>
      <c r="Y132" s="16">
        <f t="shared" si="28"/>
        <v>-70.520999999999731</v>
      </c>
      <c r="Z132" s="16">
        <f t="shared" si="35"/>
        <v>-3.4536460376438032E-2</v>
      </c>
      <c r="AD132" s="8"/>
    </row>
    <row r="133" spans="1:30" x14ac:dyDescent="0.35">
      <c r="A133" t="s">
        <v>509</v>
      </c>
      <c r="B133" s="1">
        <v>45370</v>
      </c>
      <c r="C133" s="21">
        <f t="shared" si="29"/>
        <v>3</v>
      </c>
      <c r="D133" s="19">
        <f t="shared" si="26"/>
        <v>45352</v>
      </c>
      <c r="E133" s="21">
        <f t="shared" si="30"/>
        <v>2024</v>
      </c>
      <c r="F133" s="3">
        <f t="shared" si="27"/>
        <v>45352</v>
      </c>
      <c r="G133" t="s">
        <v>344</v>
      </c>
      <c r="H133" t="s">
        <v>511</v>
      </c>
      <c r="I133" t="s">
        <v>890</v>
      </c>
      <c r="J133" t="s">
        <v>891</v>
      </c>
      <c r="K133" t="s">
        <v>17</v>
      </c>
      <c r="L133" t="s">
        <v>62</v>
      </c>
      <c r="M133" t="s">
        <v>19</v>
      </c>
      <c r="N133" t="s">
        <v>88</v>
      </c>
      <c r="O133" s="5">
        <v>6</v>
      </c>
      <c r="P133" s="16">
        <v>826.11</v>
      </c>
      <c r="Q133" s="2">
        <v>0.2</v>
      </c>
      <c r="R133" s="16">
        <v>538.44000000000005</v>
      </c>
      <c r="S133" t="s">
        <v>1058</v>
      </c>
      <c r="T133" t="s">
        <v>23</v>
      </c>
      <c r="U133" t="str">
        <f t="shared" si="31"/>
        <v>Sale</v>
      </c>
      <c r="V133" t="str">
        <f t="shared" si="32"/>
        <v>OK</v>
      </c>
      <c r="W133" s="16">
        <f t="shared" si="33"/>
        <v>3965.328</v>
      </c>
      <c r="X133" s="16">
        <f t="shared" si="34"/>
        <v>3230.6400000000003</v>
      </c>
      <c r="Y133" s="16">
        <f t="shared" si="28"/>
        <v>734.68799999999965</v>
      </c>
      <c r="Z133" s="16">
        <f t="shared" si="35"/>
        <v>0.18527798961397385</v>
      </c>
      <c r="AD133" s="8"/>
    </row>
    <row r="134" spans="1:30" x14ac:dyDescent="0.35">
      <c r="A134" t="s">
        <v>512</v>
      </c>
      <c r="B134" s="1">
        <v>45293</v>
      </c>
      <c r="C134" s="21">
        <f t="shared" si="29"/>
        <v>1</v>
      </c>
      <c r="D134" s="19">
        <f t="shared" si="26"/>
        <v>45292</v>
      </c>
      <c r="E134" s="21">
        <f t="shared" si="30"/>
        <v>2024</v>
      </c>
      <c r="F134" s="3">
        <f t="shared" si="27"/>
        <v>45292</v>
      </c>
      <c r="G134" t="s">
        <v>327</v>
      </c>
      <c r="H134" t="s">
        <v>514</v>
      </c>
      <c r="I134" t="s">
        <v>745</v>
      </c>
      <c r="J134" t="s">
        <v>892</v>
      </c>
      <c r="K134" t="s">
        <v>40</v>
      </c>
      <c r="L134" t="s">
        <v>103</v>
      </c>
      <c r="M134" t="s">
        <v>19</v>
      </c>
      <c r="N134" t="s">
        <v>20</v>
      </c>
      <c r="O134" s="5">
        <v>4</v>
      </c>
      <c r="P134" s="16">
        <v>229.03</v>
      </c>
      <c r="Q134" s="2">
        <v>0</v>
      </c>
      <c r="R134" s="16">
        <v>521.29999999999995</v>
      </c>
      <c r="S134" t="s">
        <v>1058</v>
      </c>
      <c r="T134" t="s">
        <v>23</v>
      </c>
      <c r="U134" t="str">
        <f t="shared" si="31"/>
        <v>Sale</v>
      </c>
      <c r="V134" t="str">
        <f t="shared" si="32"/>
        <v>OK</v>
      </c>
      <c r="W134" s="16">
        <f t="shared" si="33"/>
        <v>916.12</v>
      </c>
      <c r="X134" s="16">
        <f t="shared" si="34"/>
        <v>2085.1999999999998</v>
      </c>
      <c r="Y134" s="16">
        <f t="shared" si="28"/>
        <v>-1169.08</v>
      </c>
      <c r="Z134" s="16">
        <f t="shared" si="35"/>
        <v>-1.2761210321791905</v>
      </c>
      <c r="AD134" s="8"/>
    </row>
    <row r="135" spans="1:30" x14ac:dyDescent="0.35">
      <c r="A135" t="s">
        <v>515</v>
      </c>
      <c r="B135" s="1">
        <v>45554</v>
      </c>
      <c r="C135" s="21">
        <f t="shared" si="29"/>
        <v>9</v>
      </c>
      <c r="D135" s="19">
        <f t="shared" si="26"/>
        <v>45536</v>
      </c>
      <c r="E135" s="21">
        <f t="shared" si="30"/>
        <v>2024</v>
      </c>
      <c r="F135" s="3">
        <f t="shared" si="27"/>
        <v>45536</v>
      </c>
      <c r="G135" t="s">
        <v>517</v>
      </c>
      <c r="H135" t="s">
        <v>518</v>
      </c>
      <c r="I135" t="s">
        <v>893</v>
      </c>
      <c r="J135" t="s">
        <v>894</v>
      </c>
      <c r="K135" t="s">
        <v>17</v>
      </c>
      <c r="L135" t="s">
        <v>103</v>
      </c>
      <c r="M135" t="s">
        <v>54</v>
      </c>
      <c r="N135" t="s">
        <v>74</v>
      </c>
      <c r="O135" s="5">
        <v>9</v>
      </c>
      <c r="P135" s="16">
        <v>1211.3399999999999</v>
      </c>
      <c r="Q135" s="2">
        <v>0</v>
      </c>
      <c r="R135" s="16">
        <v>397.16</v>
      </c>
      <c r="S135" t="s">
        <v>1058</v>
      </c>
      <c r="T135" t="s">
        <v>23</v>
      </c>
      <c r="U135" t="str">
        <f t="shared" si="31"/>
        <v>Sale</v>
      </c>
      <c r="V135" t="str">
        <f t="shared" si="32"/>
        <v>OK</v>
      </c>
      <c r="W135" s="16">
        <f t="shared" si="33"/>
        <v>10902.06</v>
      </c>
      <c r="X135" s="16">
        <f t="shared" si="34"/>
        <v>3574.44</v>
      </c>
      <c r="Y135" s="16">
        <f t="shared" si="28"/>
        <v>7327.619999999999</v>
      </c>
      <c r="Z135" s="16">
        <f t="shared" si="35"/>
        <v>0.67213168887347885</v>
      </c>
      <c r="AD135" s="8"/>
    </row>
    <row r="136" spans="1:30" x14ac:dyDescent="0.35">
      <c r="A136" t="s">
        <v>519</v>
      </c>
      <c r="B136" s="1">
        <v>45770</v>
      </c>
      <c r="C136" s="21">
        <f t="shared" si="29"/>
        <v>4</v>
      </c>
      <c r="D136" s="19">
        <f t="shared" si="26"/>
        <v>45748</v>
      </c>
      <c r="E136" s="21">
        <f t="shared" si="30"/>
        <v>2025</v>
      </c>
      <c r="F136" s="3">
        <f t="shared" si="27"/>
        <v>45748</v>
      </c>
      <c r="G136" t="s">
        <v>449</v>
      </c>
      <c r="H136" t="s">
        <v>521</v>
      </c>
      <c r="I136" t="s">
        <v>995</v>
      </c>
      <c r="J136" t="s">
        <v>1037</v>
      </c>
      <c r="K136" t="s">
        <v>768</v>
      </c>
      <c r="L136" t="s">
        <v>94</v>
      </c>
      <c r="M136" t="s">
        <v>19</v>
      </c>
      <c r="N136" t="s">
        <v>20</v>
      </c>
      <c r="O136" s="5">
        <v>-8</v>
      </c>
      <c r="P136" s="16">
        <v>616.26</v>
      </c>
      <c r="Q136" s="2">
        <v>0.2</v>
      </c>
      <c r="R136" s="16">
        <v>766.3</v>
      </c>
      <c r="S136" t="s">
        <v>1058</v>
      </c>
      <c r="T136" t="s">
        <v>56</v>
      </c>
      <c r="U136" t="str">
        <f t="shared" si="31"/>
        <v>Return</v>
      </c>
      <c r="V136" t="str">
        <f t="shared" si="32"/>
        <v>OK</v>
      </c>
      <c r="W136" s="16">
        <f t="shared" si="33"/>
        <v>-3944.0640000000003</v>
      </c>
      <c r="X136" s="16">
        <f t="shared" si="34"/>
        <v>-6130.4</v>
      </c>
      <c r="Y136" s="16">
        <f t="shared" si="28"/>
        <v>2186.3359999999993</v>
      </c>
      <c r="Z136" s="16">
        <f t="shared" si="35"/>
        <v>-0.55433583227858352</v>
      </c>
      <c r="AD136" s="8"/>
    </row>
    <row r="137" spans="1:30" x14ac:dyDescent="0.35">
      <c r="A137" t="s">
        <v>522</v>
      </c>
      <c r="B137" s="1">
        <v>45641</v>
      </c>
      <c r="C137" s="21">
        <f t="shared" si="29"/>
        <v>12</v>
      </c>
      <c r="D137" s="19">
        <f t="shared" si="26"/>
        <v>45627</v>
      </c>
      <c r="E137" s="21">
        <f t="shared" si="30"/>
        <v>2024</v>
      </c>
      <c r="F137" s="3">
        <f t="shared" si="27"/>
        <v>45627</v>
      </c>
      <c r="G137" t="s">
        <v>156</v>
      </c>
      <c r="H137" t="s">
        <v>524</v>
      </c>
      <c r="I137" t="s">
        <v>751</v>
      </c>
      <c r="J137" t="s">
        <v>895</v>
      </c>
      <c r="K137" t="s">
        <v>83</v>
      </c>
      <c r="L137" t="s">
        <v>103</v>
      </c>
      <c r="M137" t="s">
        <v>54</v>
      </c>
      <c r="N137" t="s">
        <v>74</v>
      </c>
      <c r="O137" s="5">
        <v>3</v>
      </c>
      <c r="P137" s="16">
        <v>524.91999999999996</v>
      </c>
      <c r="Q137" s="2">
        <v>0.05</v>
      </c>
      <c r="R137" s="16">
        <v>538.17999999999995</v>
      </c>
      <c r="S137" t="s">
        <v>49</v>
      </c>
      <c r="T137" t="s">
        <v>23</v>
      </c>
      <c r="U137" t="str">
        <f t="shared" si="31"/>
        <v>Sale</v>
      </c>
      <c r="V137" t="str">
        <f t="shared" si="32"/>
        <v>OK</v>
      </c>
      <c r="W137" s="16">
        <f t="shared" si="33"/>
        <v>1496.0219999999997</v>
      </c>
      <c r="X137" s="16">
        <f t="shared" si="34"/>
        <v>1614.54</v>
      </c>
      <c r="Y137" s="16">
        <f t="shared" si="28"/>
        <v>-118.51800000000026</v>
      </c>
      <c r="Z137" s="16">
        <f t="shared" si="35"/>
        <v>-7.9222097001247493E-2</v>
      </c>
      <c r="AD137" s="8"/>
    </row>
    <row r="138" spans="1:30" x14ac:dyDescent="0.35">
      <c r="A138" t="s">
        <v>525</v>
      </c>
      <c r="B138" s="1">
        <v>45717</v>
      </c>
      <c r="C138" s="21">
        <f t="shared" si="29"/>
        <v>3</v>
      </c>
      <c r="D138" s="19">
        <f t="shared" si="26"/>
        <v>45717</v>
      </c>
      <c r="E138" s="21">
        <f t="shared" si="30"/>
        <v>2025</v>
      </c>
      <c r="F138" s="3">
        <f t="shared" si="27"/>
        <v>45717</v>
      </c>
      <c r="G138" t="s">
        <v>310</v>
      </c>
      <c r="H138" t="s">
        <v>526</v>
      </c>
      <c r="I138" t="s">
        <v>888</v>
      </c>
      <c r="J138" t="s">
        <v>896</v>
      </c>
      <c r="K138" t="s">
        <v>47</v>
      </c>
      <c r="L138" t="s">
        <v>62</v>
      </c>
      <c r="M138" t="s">
        <v>54</v>
      </c>
      <c r="N138" t="s">
        <v>68</v>
      </c>
      <c r="O138" s="5">
        <v>14</v>
      </c>
      <c r="P138" s="16">
        <v>693.63</v>
      </c>
      <c r="Q138" s="2">
        <v>0.2</v>
      </c>
      <c r="R138" s="16">
        <v>190.1</v>
      </c>
      <c r="S138" t="s">
        <v>49</v>
      </c>
      <c r="T138" t="s">
        <v>23</v>
      </c>
      <c r="U138" t="str">
        <f t="shared" si="31"/>
        <v>Sale</v>
      </c>
      <c r="V138" t="str">
        <f t="shared" si="32"/>
        <v>OK</v>
      </c>
      <c r="W138" s="16">
        <f t="shared" si="33"/>
        <v>7768.6559999999999</v>
      </c>
      <c r="X138" s="16">
        <f t="shared" si="34"/>
        <v>2661.4</v>
      </c>
      <c r="Y138" s="16">
        <f t="shared" si="28"/>
        <v>5107.2559999999994</v>
      </c>
      <c r="Z138" s="16">
        <f t="shared" si="35"/>
        <v>0.65741822008851969</v>
      </c>
      <c r="AD138" s="8"/>
    </row>
    <row r="139" spans="1:30" x14ac:dyDescent="0.35">
      <c r="A139" t="s">
        <v>527</v>
      </c>
      <c r="B139" s="1">
        <v>45343</v>
      </c>
      <c r="C139" s="21">
        <f t="shared" si="29"/>
        <v>2</v>
      </c>
      <c r="D139" s="19">
        <f t="shared" si="26"/>
        <v>45323</v>
      </c>
      <c r="E139" s="21">
        <f t="shared" si="30"/>
        <v>2024</v>
      </c>
      <c r="F139" s="3">
        <f t="shared" si="27"/>
        <v>45323</v>
      </c>
      <c r="G139" t="s">
        <v>246</v>
      </c>
      <c r="H139" t="s">
        <v>528</v>
      </c>
      <c r="I139" t="s">
        <v>897</v>
      </c>
      <c r="J139" t="s">
        <v>898</v>
      </c>
      <c r="K139" t="s">
        <v>47</v>
      </c>
      <c r="L139" t="s">
        <v>18</v>
      </c>
      <c r="M139" t="s">
        <v>19</v>
      </c>
      <c r="N139" t="s">
        <v>20</v>
      </c>
      <c r="O139" s="5">
        <v>11</v>
      </c>
      <c r="P139" s="16">
        <v>77.77</v>
      </c>
      <c r="Q139" s="2">
        <v>0.05</v>
      </c>
      <c r="R139" s="16">
        <v>403.46</v>
      </c>
      <c r="S139" t="s">
        <v>35</v>
      </c>
      <c r="T139" t="s">
        <v>23</v>
      </c>
      <c r="U139" t="str">
        <f t="shared" si="31"/>
        <v>Sale</v>
      </c>
      <c r="V139" t="str">
        <f t="shared" si="32"/>
        <v>OK</v>
      </c>
      <c r="W139" s="16">
        <f t="shared" si="33"/>
        <v>812.6964999999999</v>
      </c>
      <c r="X139" s="16">
        <f t="shared" si="34"/>
        <v>4438.0599999999995</v>
      </c>
      <c r="Y139" s="16">
        <f t="shared" si="28"/>
        <v>-3625.3634999999995</v>
      </c>
      <c r="Z139" s="16">
        <f t="shared" si="35"/>
        <v>-4.4609069929549348</v>
      </c>
      <c r="AD139" s="8"/>
    </row>
    <row r="140" spans="1:30" x14ac:dyDescent="0.35">
      <c r="A140" t="s">
        <v>529</v>
      </c>
      <c r="B140" s="1">
        <v>45587</v>
      </c>
      <c r="C140" s="21">
        <f t="shared" si="29"/>
        <v>10</v>
      </c>
      <c r="D140" s="19">
        <f t="shared" si="26"/>
        <v>45566</v>
      </c>
      <c r="E140" s="21">
        <f t="shared" si="30"/>
        <v>2024</v>
      </c>
      <c r="F140" s="3">
        <f t="shared" si="27"/>
        <v>45566</v>
      </c>
      <c r="G140" t="s">
        <v>226</v>
      </c>
      <c r="H140" t="s">
        <v>531</v>
      </c>
      <c r="I140" t="s">
        <v>996</v>
      </c>
      <c r="J140" t="s">
        <v>1038</v>
      </c>
      <c r="K140" t="s">
        <v>40</v>
      </c>
      <c r="L140" t="s">
        <v>34</v>
      </c>
      <c r="M140" t="s">
        <v>28</v>
      </c>
      <c r="N140" t="s">
        <v>63</v>
      </c>
      <c r="O140" s="5">
        <v>6</v>
      </c>
      <c r="P140" s="16">
        <v>1315.01</v>
      </c>
      <c r="Q140" s="2">
        <v>0.1</v>
      </c>
      <c r="R140" s="16">
        <v>522.21</v>
      </c>
      <c r="S140" t="s">
        <v>1058</v>
      </c>
      <c r="T140" t="s">
        <v>56</v>
      </c>
      <c r="U140" t="str">
        <f t="shared" si="31"/>
        <v>Sale</v>
      </c>
      <c r="V140" t="str">
        <f t="shared" si="32"/>
        <v>Check</v>
      </c>
      <c r="W140" s="16">
        <f t="shared" si="33"/>
        <v>7101.0540000000001</v>
      </c>
      <c r="X140" s="16">
        <f t="shared" si="34"/>
        <v>3133.26</v>
      </c>
      <c r="Y140" s="16">
        <f t="shared" si="28"/>
        <v>3967.7939999999999</v>
      </c>
      <c r="Z140" s="16">
        <f t="shared" si="35"/>
        <v>0.55876127684707089</v>
      </c>
      <c r="AD140" s="8"/>
    </row>
    <row r="141" spans="1:30" x14ac:dyDescent="0.35">
      <c r="A141" t="s">
        <v>532</v>
      </c>
      <c r="B141" s="1">
        <v>45774</v>
      </c>
      <c r="C141" s="21">
        <f t="shared" si="29"/>
        <v>4</v>
      </c>
      <c r="D141" s="19">
        <f t="shared" si="26"/>
        <v>45748</v>
      </c>
      <c r="E141" s="21">
        <f t="shared" si="30"/>
        <v>2025</v>
      </c>
      <c r="F141" s="3">
        <f t="shared" si="27"/>
        <v>45748</v>
      </c>
      <c r="G141" t="s">
        <v>91</v>
      </c>
      <c r="H141" t="s">
        <v>534</v>
      </c>
      <c r="I141" t="s">
        <v>911</v>
      </c>
      <c r="J141" t="s">
        <v>889</v>
      </c>
      <c r="K141" t="s">
        <v>83</v>
      </c>
      <c r="L141" t="s">
        <v>41</v>
      </c>
      <c r="M141" t="s">
        <v>19</v>
      </c>
      <c r="N141" t="s">
        <v>158</v>
      </c>
      <c r="O141" s="5">
        <v>9</v>
      </c>
      <c r="P141" s="16">
        <v>627.41</v>
      </c>
      <c r="Q141" s="2">
        <v>0.05</v>
      </c>
      <c r="R141" s="16">
        <v>377.71</v>
      </c>
      <c r="S141" t="s">
        <v>22</v>
      </c>
      <c r="T141" t="s">
        <v>56</v>
      </c>
      <c r="U141" t="str">
        <f t="shared" si="31"/>
        <v>Sale</v>
      </c>
      <c r="V141" t="str">
        <f t="shared" si="32"/>
        <v>Check</v>
      </c>
      <c r="W141" s="16">
        <f t="shared" si="33"/>
        <v>5364.3554999999997</v>
      </c>
      <c r="X141" s="16">
        <f t="shared" si="34"/>
        <v>3399.39</v>
      </c>
      <c r="Y141" s="16">
        <f t="shared" si="28"/>
        <v>1964.9654999999998</v>
      </c>
      <c r="Z141" s="16">
        <f t="shared" si="35"/>
        <v>0.36630038780986829</v>
      </c>
      <c r="AD141" s="8"/>
    </row>
    <row r="142" spans="1:30" x14ac:dyDescent="0.35">
      <c r="A142" t="s">
        <v>535</v>
      </c>
      <c r="B142" s="1">
        <v>45935</v>
      </c>
      <c r="C142" s="21">
        <f t="shared" si="29"/>
        <v>10</v>
      </c>
      <c r="D142" s="19">
        <f t="shared" si="26"/>
        <v>45931</v>
      </c>
      <c r="E142" s="21">
        <f t="shared" si="30"/>
        <v>2025</v>
      </c>
      <c r="F142" s="3">
        <f t="shared" si="27"/>
        <v>45931</v>
      </c>
      <c r="G142" t="s">
        <v>537</v>
      </c>
      <c r="H142" t="s">
        <v>538</v>
      </c>
      <c r="I142" t="s">
        <v>799</v>
      </c>
      <c r="J142" t="s">
        <v>1039</v>
      </c>
      <c r="K142" t="s">
        <v>83</v>
      </c>
      <c r="L142" t="s">
        <v>103</v>
      </c>
      <c r="M142" t="s">
        <v>19</v>
      </c>
      <c r="N142" t="s">
        <v>88</v>
      </c>
      <c r="O142" s="5">
        <v>7</v>
      </c>
      <c r="P142" s="16">
        <v>308.99</v>
      </c>
      <c r="Q142" s="2">
        <v>0.1</v>
      </c>
      <c r="R142" s="16">
        <v>922.38</v>
      </c>
      <c r="S142" t="s">
        <v>35</v>
      </c>
      <c r="T142" t="s">
        <v>56</v>
      </c>
      <c r="U142" t="str">
        <f t="shared" si="31"/>
        <v>Sale</v>
      </c>
      <c r="V142" t="str">
        <f t="shared" si="32"/>
        <v>Check</v>
      </c>
      <c r="W142" s="16">
        <f t="shared" si="33"/>
        <v>1946.6370000000004</v>
      </c>
      <c r="X142" s="16">
        <f t="shared" si="34"/>
        <v>6456.66</v>
      </c>
      <c r="Y142" s="16">
        <f t="shared" si="28"/>
        <v>-4510.0229999999992</v>
      </c>
      <c r="Z142" s="16">
        <f t="shared" si="35"/>
        <v>-2.316827944809432</v>
      </c>
      <c r="AD142" s="8"/>
    </row>
    <row r="143" spans="1:30" x14ac:dyDescent="0.35">
      <c r="A143" t="s">
        <v>539</v>
      </c>
      <c r="B143" s="1">
        <v>45312</v>
      </c>
      <c r="C143" s="21">
        <f t="shared" si="29"/>
        <v>1</v>
      </c>
      <c r="D143" s="19">
        <f t="shared" si="26"/>
        <v>45292</v>
      </c>
      <c r="E143" s="21">
        <f t="shared" si="30"/>
        <v>2024</v>
      </c>
      <c r="F143" s="3">
        <f t="shared" si="27"/>
        <v>45292</v>
      </c>
      <c r="G143" t="s">
        <v>226</v>
      </c>
      <c r="H143" t="s">
        <v>541</v>
      </c>
      <c r="I143" t="s">
        <v>899</v>
      </c>
      <c r="J143" t="s">
        <v>900</v>
      </c>
      <c r="K143" t="s">
        <v>47</v>
      </c>
      <c r="L143" t="s">
        <v>18</v>
      </c>
      <c r="M143" t="s">
        <v>28</v>
      </c>
      <c r="N143" t="s">
        <v>153</v>
      </c>
      <c r="O143" s="5">
        <v>13</v>
      </c>
      <c r="P143" s="16">
        <v>1008.82</v>
      </c>
      <c r="Q143" s="2">
        <v>0.1</v>
      </c>
      <c r="R143" s="16">
        <v>210.47</v>
      </c>
      <c r="S143" t="s">
        <v>22</v>
      </c>
      <c r="T143" t="s">
        <v>23</v>
      </c>
      <c r="U143" t="str">
        <f t="shared" si="31"/>
        <v>Sale</v>
      </c>
      <c r="V143" t="str">
        <f t="shared" si="32"/>
        <v>OK</v>
      </c>
      <c r="W143" s="16">
        <f t="shared" si="33"/>
        <v>11803.194</v>
      </c>
      <c r="X143" s="16">
        <f t="shared" si="34"/>
        <v>2736.11</v>
      </c>
      <c r="Y143" s="16">
        <f t="shared" si="28"/>
        <v>9067.0839999999989</v>
      </c>
      <c r="Z143" s="16">
        <f t="shared" si="35"/>
        <v>0.76818901731175471</v>
      </c>
      <c r="AD143" s="8"/>
    </row>
    <row r="144" spans="1:30" x14ac:dyDescent="0.35">
      <c r="A144" t="s">
        <v>542</v>
      </c>
      <c r="B144" s="1">
        <v>45648</v>
      </c>
      <c r="C144" s="21">
        <f t="shared" si="29"/>
        <v>12</v>
      </c>
      <c r="D144" s="19">
        <f t="shared" si="26"/>
        <v>45627</v>
      </c>
      <c r="E144" s="21">
        <f t="shared" si="30"/>
        <v>2024</v>
      </c>
      <c r="F144" s="3">
        <f t="shared" si="27"/>
        <v>45627</v>
      </c>
      <c r="G144" t="s">
        <v>306</v>
      </c>
      <c r="H144" t="s">
        <v>544</v>
      </c>
      <c r="I144" t="s">
        <v>885</v>
      </c>
      <c r="J144" t="s">
        <v>1040</v>
      </c>
      <c r="K144" t="s">
        <v>768</v>
      </c>
      <c r="L144" t="s">
        <v>62</v>
      </c>
      <c r="M144" t="s">
        <v>54</v>
      </c>
      <c r="N144" t="s">
        <v>74</v>
      </c>
      <c r="O144" s="5">
        <v>15</v>
      </c>
      <c r="P144" s="16">
        <v>485.81</v>
      </c>
      <c r="Q144" s="2">
        <v>0.2</v>
      </c>
      <c r="R144" s="16">
        <v>467.32</v>
      </c>
      <c r="S144" t="s">
        <v>1058</v>
      </c>
      <c r="T144" t="s">
        <v>56</v>
      </c>
      <c r="U144" t="str">
        <f t="shared" si="31"/>
        <v>Sale</v>
      </c>
      <c r="V144" t="str">
        <f t="shared" si="32"/>
        <v>Check</v>
      </c>
      <c r="W144" s="16">
        <f t="shared" si="33"/>
        <v>5829.72</v>
      </c>
      <c r="X144" s="16">
        <f t="shared" si="34"/>
        <v>7009.8</v>
      </c>
      <c r="Y144" s="16">
        <f t="shared" si="28"/>
        <v>-1180.08</v>
      </c>
      <c r="Z144" s="16">
        <f t="shared" si="35"/>
        <v>-0.2024248162862024</v>
      </c>
      <c r="AD144" s="8"/>
    </row>
    <row r="145" spans="1:30" x14ac:dyDescent="0.35">
      <c r="A145" t="s">
        <v>545</v>
      </c>
      <c r="B145" s="1">
        <v>45681</v>
      </c>
      <c r="C145" s="21">
        <f t="shared" si="29"/>
        <v>1</v>
      </c>
      <c r="D145" s="19">
        <f t="shared" si="26"/>
        <v>45658</v>
      </c>
      <c r="E145" s="21">
        <f t="shared" si="30"/>
        <v>2025</v>
      </c>
      <c r="F145" s="3">
        <f t="shared" si="27"/>
        <v>45658</v>
      </c>
      <c r="G145" t="s">
        <v>294</v>
      </c>
      <c r="H145" t="s">
        <v>547</v>
      </c>
      <c r="I145" t="s">
        <v>901</v>
      </c>
      <c r="J145" t="s">
        <v>902</v>
      </c>
      <c r="K145" t="s">
        <v>47</v>
      </c>
      <c r="L145" t="s">
        <v>41</v>
      </c>
      <c r="M145" t="s">
        <v>19</v>
      </c>
      <c r="N145" t="s">
        <v>88</v>
      </c>
      <c r="O145" s="5">
        <v>6</v>
      </c>
      <c r="P145" s="16">
        <v>73.34</v>
      </c>
      <c r="Q145" s="2">
        <v>0</v>
      </c>
      <c r="R145" s="16">
        <v>741.77</v>
      </c>
      <c r="S145" t="s">
        <v>22</v>
      </c>
      <c r="T145" t="s">
        <v>23</v>
      </c>
      <c r="U145" t="str">
        <f t="shared" si="31"/>
        <v>Sale</v>
      </c>
      <c r="V145" t="str">
        <f t="shared" si="32"/>
        <v>OK</v>
      </c>
      <c r="W145" s="16">
        <f t="shared" si="33"/>
        <v>440.04</v>
      </c>
      <c r="X145" s="16">
        <f t="shared" si="34"/>
        <v>4450.62</v>
      </c>
      <c r="Y145" s="16">
        <f t="shared" si="28"/>
        <v>-4010.58</v>
      </c>
      <c r="Z145" s="16">
        <f t="shared" si="35"/>
        <v>-9.1141259885464958</v>
      </c>
      <c r="AD145" s="8"/>
    </row>
    <row r="146" spans="1:30" x14ac:dyDescent="0.35">
      <c r="A146" t="s">
        <v>548</v>
      </c>
      <c r="B146" s="1">
        <v>45486</v>
      </c>
      <c r="C146" s="21">
        <f t="shared" si="29"/>
        <v>7</v>
      </c>
      <c r="D146" s="19">
        <f t="shared" si="26"/>
        <v>45474</v>
      </c>
      <c r="E146" s="21">
        <f t="shared" si="30"/>
        <v>2024</v>
      </c>
      <c r="F146" s="3">
        <f t="shared" si="27"/>
        <v>45474</v>
      </c>
      <c r="G146" t="s">
        <v>449</v>
      </c>
      <c r="H146" t="s">
        <v>975</v>
      </c>
      <c r="I146" t="s">
        <v>903</v>
      </c>
      <c r="J146" t="s">
        <v>1041</v>
      </c>
      <c r="K146" t="s">
        <v>40</v>
      </c>
      <c r="L146" t="s">
        <v>18</v>
      </c>
      <c r="M146" t="s">
        <v>19</v>
      </c>
      <c r="N146" t="s">
        <v>135</v>
      </c>
      <c r="O146" s="5">
        <v>9</v>
      </c>
      <c r="P146" s="16">
        <v>1028.8499999999999</v>
      </c>
      <c r="Q146" s="2">
        <v>0.2</v>
      </c>
      <c r="R146" s="16">
        <v>821.95</v>
      </c>
      <c r="S146" t="s">
        <v>35</v>
      </c>
      <c r="T146" t="s">
        <v>23</v>
      </c>
      <c r="U146" t="str">
        <f t="shared" si="31"/>
        <v>Sale</v>
      </c>
      <c r="V146" t="str">
        <f t="shared" si="32"/>
        <v>OK</v>
      </c>
      <c r="W146" s="16">
        <f t="shared" si="33"/>
        <v>7407.72</v>
      </c>
      <c r="X146" s="16">
        <f t="shared" si="34"/>
        <v>7397.55</v>
      </c>
      <c r="Y146" s="16">
        <f t="shared" si="28"/>
        <v>10.170000000000073</v>
      </c>
      <c r="Z146" s="16">
        <f t="shared" si="35"/>
        <v>1.3728920639549109E-3</v>
      </c>
      <c r="AD146" s="8"/>
    </row>
    <row r="147" spans="1:30" x14ac:dyDescent="0.35">
      <c r="A147" t="s">
        <v>551</v>
      </c>
      <c r="B147" s="1">
        <v>45386</v>
      </c>
      <c r="C147" s="21">
        <f t="shared" si="29"/>
        <v>4</v>
      </c>
      <c r="D147" s="19">
        <f t="shared" si="26"/>
        <v>45383</v>
      </c>
      <c r="E147" s="21">
        <f t="shared" si="30"/>
        <v>2024</v>
      </c>
      <c r="F147" s="3">
        <f t="shared" si="27"/>
        <v>45383</v>
      </c>
      <c r="G147" t="s">
        <v>101</v>
      </c>
      <c r="H147" t="s">
        <v>553</v>
      </c>
      <c r="I147" t="s">
        <v>824</v>
      </c>
      <c r="J147" t="s">
        <v>904</v>
      </c>
      <c r="K147" t="s">
        <v>47</v>
      </c>
      <c r="L147" t="s">
        <v>18</v>
      </c>
      <c r="M147" t="s">
        <v>19</v>
      </c>
      <c r="N147" t="s">
        <v>88</v>
      </c>
      <c r="O147" s="5">
        <v>11</v>
      </c>
      <c r="P147" s="16">
        <v>788.3</v>
      </c>
      <c r="Q147" s="2">
        <v>0.2</v>
      </c>
      <c r="R147" s="16">
        <v>76.180000000000007</v>
      </c>
      <c r="S147" t="s">
        <v>22</v>
      </c>
      <c r="T147" t="s">
        <v>23</v>
      </c>
      <c r="U147" t="str">
        <f t="shared" si="31"/>
        <v>Sale</v>
      </c>
      <c r="V147" t="str">
        <f t="shared" si="32"/>
        <v>OK</v>
      </c>
      <c r="W147" s="16">
        <f t="shared" si="33"/>
        <v>6937.04</v>
      </c>
      <c r="X147" s="16">
        <f t="shared" si="34"/>
        <v>837.98</v>
      </c>
      <c r="Y147" s="16">
        <f t="shared" si="28"/>
        <v>6099.0599999999995</v>
      </c>
      <c r="Z147" s="16">
        <f t="shared" si="35"/>
        <v>0.8792020804262336</v>
      </c>
      <c r="AD147" s="8"/>
    </row>
    <row r="148" spans="1:30" x14ac:dyDescent="0.35">
      <c r="A148" t="s">
        <v>554</v>
      </c>
      <c r="B148" s="1">
        <v>45403</v>
      </c>
      <c r="C148" s="21">
        <f t="shared" si="29"/>
        <v>4</v>
      </c>
      <c r="D148" s="19">
        <f t="shared" si="26"/>
        <v>45383</v>
      </c>
      <c r="E148" s="21">
        <f t="shared" si="30"/>
        <v>2024</v>
      </c>
      <c r="F148" s="3">
        <f t="shared" si="27"/>
        <v>45383</v>
      </c>
      <c r="G148" t="s">
        <v>493</v>
      </c>
      <c r="H148" t="s">
        <v>556</v>
      </c>
      <c r="I148" t="s">
        <v>731</v>
      </c>
      <c r="J148" t="s">
        <v>905</v>
      </c>
      <c r="K148" t="s">
        <v>47</v>
      </c>
      <c r="L148" t="s">
        <v>103</v>
      </c>
      <c r="M148" t="s">
        <v>19</v>
      </c>
      <c r="N148" t="s">
        <v>20</v>
      </c>
      <c r="O148" s="5">
        <v>10</v>
      </c>
      <c r="P148" s="16">
        <v>1401.19</v>
      </c>
      <c r="Q148" s="2">
        <v>0</v>
      </c>
      <c r="R148" s="16">
        <v>659.97</v>
      </c>
      <c r="S148" t="s">
        <v>49</v>
      </c>
      <c r="T148" t="s">
        <v>23</v>
      </c>
      <c r="U148" t="str">
        <f t="shared" si="31"/>
        <v>Sale</v>
      </c>
      <c r="V148" t="str">
        <f t="shared" si="32"/>
        <v>OK</v>
      </c>
      <c r="W148" s="16">
        <f t="shared" si="33"/>
        <v>14011.900000000001</v>
      </c>
      <c r="X148" s="16">
        <f t="shared" si="34"/>
        <v>6599.7000000000007</v>
      </c>
      <c r="Y148" s="16">
        <f t="shared" si="28"/>
        <v>7412.2000000000007</v>
      </c>
      <c r="Z148" s="16">
        <f t="shared" si="35"/>
        <v>0.52899321291188206</v>
      </c>
      <c r="AD148" s="8"/>
    </row>
    <row r="149" spans="1:30" x14ac:dyDescent="0.35">
      <c r="A149" t="s">
        <v>557</v>
      </c>
      <c r="B149" s="1">
        <v>45536</v>
      </c>
      <c r="C149" s="21">
        <f t="shared" si="29"/>
        <v>9</v>
      </c>
      <c r="D149" s="19">
        <f t="shared" si="26"/>
        <v>45536</v>
      </c>
      <c r="E149" s="21">
        <f t="shared" si="30"/>
        <v>2024</v>
      </c>
      <c r="F149" s="3">
        <f t="shared" si="27"/>
        <v>45536</v>
      </c>
      <c r="G149" t="s">
        <v>558</v>
      </c>
      <c r="H149" t="s">
        <v>559</v>
      </c>
      <c r="I149" t="s">
        <v>992</v>
      </c>
      <c r="J149" t="s">
        <v>770</v>
      </c>
      <c r="K149" t="s">
        <v>18</v>
      </c>
      <c r="L149" t="s">
        <v>41</v>
      </c>
      <c r="M149" t="s">
        <v>28</v>
      </c>
      <c r="N149" t="s">
        <v>63</v>
      </c>
      <c r="O149" s="5">
        <v>7</v>
      </c>
      <c r="P149" s="16">
        <v>1365.11</v>
      </c>
      <c r="Q149" s="2">
        <v>0.05</v>
      </c>
      <c r="R149" s="16">
        <v>98.12</v>
      </c>
      <c r="S149" t="s">
        <v>35</v>
      </c>
      <c r="T149" t="s">
        <v>56</v>
      </c>
      <c r="U149" t="str">
        <f t="shared" si="31"/>
        <v>Sale</v>
      </c>
      <c r="V149" t="str">
        <f t="shared" si="32"/>
        <v>Check</v>
      </c>
      <c r="W149" s="16">
        <f t="shared" si="33"/>
        <v>9077.9814999999981</v>
      </c>
      <c r="X149" s="16">
        <f t="shared" si="34"/>
        <v>686.84</v>
      </c>
      <c r="Y149" s="16">
        <f t="shared" si="28"/>
        <v>8391.1414999999979</v>
      </c>
      <c r="Z149" s="16">
        <f t="shared" si="35"/>
        <v>0.92434000884447709</v>
      </c>
      <c r="AD149" s="8"/>
    </row>
    <row r="150" spans="1:30" x14ac:dyDescent="0.35">
      <c r="A150" t="s">
        <v>560</v>
      </c>
      <c r="B150" s="1">
        <v>45813</v>
      </c>
      <c r="C150" s="21">
        <f t="shared" si="29"/>
        <v>6</v>
      </c>
      <c r="D150" s="19">
        <f t="shared" si="26"/>
        <v>45809</v>
      </c>
      <c r="E150" s="21">
        <f t="shared" si="30"/>
        <v>2025</v>
      </c>
      <c r="F150" s="3">
        <f t="shared" si="27"/>
        <v>45809</v>
      </c>
      <c r="G150" t="s">
        <v>955</v>
      </c>
      <c r="H150" t="s">
        <v>562</v>
      </c>
      <c r="I150" t="s">
        <v>997</v>
      </c>
      <c r="J150" t="s">
        <v>1042</v>
      </c>
      <c r="K150" t="s">
        <v>47</v>
      </c>
      <c r="L150" t="s">
        <v>94</v>
      </c>
      <c r="M150" t="s">
        <v>19</v>
      </c>
      <c r="N150" t="s">
        <v>158</v>
      </c>
      <c r="O150" s="5">
        <v>12</v>
      </c>
      <c r="P150" s="16">
        <v>1027.6400000000001</v>
      </c>
      <c r="Q150" s="2">
        <v>0.2</v>
      </c>
      <c r="R150" s="16">
        <v>654.42999999999995</v>
      </c>
      <c r="S150" t="s">
        <v>1058</v>
      </c>
      <c r="T150" t="s">
        <v>56</v>
      </c>
      <c r="U150" t="str">
        <f t="shared" si="31"/>
        <v>Sale</v>
      </c>
      <c r="V150" t="str">
        <f t="shared" si="32"/>
        <v>Check</v>
      </c>
      <c r="W150" s="16">
        <f t="shared" si="33"/>
        <v>9865.344000000001</v>
      </c>
      <c r="X150" s="16">
        <f t="shared" si="34"/>
        <v>7853.16</v>
      </c>
      <c r="Y150" s="16">
        <f t="shared" si="28"/>
        <v>2012.1840000000011</v>
      </c>
      <c r="Z150" s="16">
        <f t="shared" si="35"/>
        <v>0.20396490989062327</v>
      </c>
      <c r="AD150" s="8"/>
    </row>
    <row r="151" spans="1:30" x14ac:dyDescent="0.35">
      <c r="A151" t="s">
        <v>563</v>
      </c>
      <c r="B151" s="1">
        <v>45651</v>
      </c>
      <c r="C151" s="21">
        <f t="shared" si="29"/>
        <v>12</v>
      </c>
      <c r="D151" s="19">
        <f t="shared" si="26"/>
        <v>45627</v>
      </c>
      <c r="E151" s="21">
        <f t="shared" si="30"/>
        <v>2024</v>
      </c>
      <c r="F151" s="3">
        <f t="shared" si="27"/>
        <v>45627</v>
      </c>
      <c r="G151" t="s">
        <v>377</v>
      </c>
      <c r="H151" t="s">
        <v>976</v>
      </c>
      <c r="I151" t="s">
        <v>906</v>
      </c>
      <c r="J151" t="s">
        <v>1043</v>
      </c>
      <c r="K151" t="s">
        <v>83</v>
      </c>
      <c r="L151" t="s">
        <v>18</v>
      </c>
      <c r="M151" t="s">
        <v>19</v>
      </c>
      <c r="N151" t="s">
        <v>20</v>
      </c>
      <c r="O151" s="5">
        <v>8</v>
      </c>
      <c r="P151" s="16">
        <v>969.14</v>
      </c>
      <c r="Q151" s="2">
        <v>0</v>
      </c>
      <c r="R151" s="16">
        <v>977.37</v>
      </c>
      <c r="S151" t="s">
        <v>1058</v>
      </c>
      <c r="T151" t="s">
        <v>23</v>
      </c>
      <c r="U151" t="str">
        <f t="shared" si="31"/>
        <v>Sale</v>
      </c>
      <c r="V151" t="str">
        <f t="shared" si="32"/>
        <v>OK</v>
      </c>
      <c r="W151" s="16">
        <f t="shared" si="33"/>
        <v>7753.12</v>
      </c>
      <c r="X151" s="16">
        <f t="shared" si="34"/>
        <v>7818.96</v>
      </c>
      <c r="Y151" s="16">
        <f t="shared" si="28"/>
        <v>-65.840000000000146</v>
      </c>
      <c r="Z151" s="16">
        <f t="shared" si="35"/>
        <v>-8.4920651299090107E-3</v>
      </c>
      <c r="AD151" s="8"/>
    </row>
    <row r="152" spans="1:30" x14ac:dyDescent="0.35">
      <c r="A152" t="s">
        <v>566</v>
      </c>
      <c r="B152" s="1">
        <v>45642</v>
      </c>
      <c r="C152" s="21">
        <f t="shared" si="29"/>
        <v>12</v>
      </c>
      <c r="D152" s="19">
        <f t="shared" si="26"/>
        <v>45627</v>
      </c>
      <c r="E152" s="21">
        <f t="shared" si="30"/>
        <v>2024</v>
      </c>
      <c r="F152" s="3">
        <f t="shared" si="27"/>
        <v>45627</v>
      </c>
      <c r="G152" t="s">
        <v>204</v>
      </c>
      <c r="H152" t="s">
        <v>568</v>
      </c>
      <c r="I152" t="s">
        <v>745</v>
      </c>
      <c r="J152" t="s">
        <v>907</v>
      </c>
      <c r="K152" t="s">
        <v>47</v>
      </c>
      <c r="L152" t="s">
        <v>103</v>
      </c>
      <c r="M152" t="s">
        <v>19</v>
      </c>
      <c r="N152" t="s">
        <v>20</v>
      </c>
      <c r="O152" s="5">
        <v>10</v>
      </c>
      <c r="P152" s="16">
        <v>273.13</v>
      </c>
      <c r="Q152" s="2">
        <v>0.05</v>
      </c>
      <c r="R152" s="16">
        <v>17.63</v>
      </c>
      <c r="S152" t="s">
        <v>35</v>
      </c>
      <c r="T152" t="s">
        <v>23</v>
      </c>
      <c r="U152" t="str">
        <f t="shared" si="31"/>
        <v>Sale</v>
      </c>
      <c r="V152" t="str">
        <f t="shared" si="32"/>
        <v>OK</v>
      </c>
      <c r="W152" s="16">
        <f t="shared" si="33"/>
        <v>2594.7350000000001</v>
      </c>
      <c r="X152" s="16">
        <f t="shared" si="34"/>
        <v>176.29999999999998</v>
      </c>
      <c r="Y152" s="16">
        <f t="shared" si="28"/>
        <v>2418.4349999999999</v>
      </c>
      <c r="Z152" s="16">
        <f t="shared" si="35"/>
        <v>0.93205471849726462</v>
      </c>
      <c r="AD152" s="8"/>
    </row>
    <row r="153" spans="1:30" x14ac:dyDescent="0.35">
      <c r="A153" t="s">
        <v>569</v>
      </c>
      <c r="B153" s="1">
        <v>45582</v>
      </c>
      <c r="C153" s="21">
        <f t="shared" si="29"/>
        <v>10</v>
      </c>
      <c r="D153" s="19">
        <f t="shared" si="26"/>
        <v>45566</v>
      </c>
      <c r="E153" s="21">
        <f t="shared" si="30"/>
        <v>2024</v>
      </c>
      <c r="F153" s="3">
        <f t="shared" si="27"/>
        <v>45566</v>
      </c>
      <c r="G153" t="s">
        <v>151</v>
      </c>
      <c r="H153" t="s">
        <v>571</v>
      </c>
      <c r="I153" t="s">
        <v>998</v>
      </c>
      <c r="J153" t="s">
        <v>1044</v>
      </c>
      <c r="K153" t="s">
        <v>768</v>
      </c>
      <c r="L153" t="s">
        <v>103</v>
      </c>
      <c r="M153" t="s">
        <v>28</v>
      </c>
      <c r="N153" t="s">
        <v>29</v>
      </c>
      <c r="O153" s="5">
        <v>15</v>
      </c>
      <c r="P153" s="16">
        <v>578.85</v>
      </c>
      <c r="Q153" s="2">
        <v>0.2</v>
      </c>
      <c r="R153" s="16">
        <v>790.92</v>
      </c>
      <c r="S153" t="s">
        <v>49</v>
      </c>
      <c r="T153" t="s">
        <v>56</v>
      </c>
      <c r="U153" t="str">
        <f t="shared" si="31"/>
        <v>Sale</v>
      </c>
      <c r="V153" t="str">
        <f t="shared" si="32"/>
        <v>Check</v>
      </c>
      <c r="W153" s="16">
        <f t="shared" si="33"/>
        <v>6946.2000000000007</v>
      </c>
      <c r="X153" s="16">
        <f t="shared" si="34"/>
        <v>11863.8</v>
      </c>
      <c r="Y153" s="16">
        <f t="shared" si="28"/>
        <v>-4917.5999999999985</v>
      </c>
      <c r="Z153" s="16">
        <f t="shared" si="35"/>
        <v>-0.707955428867582</v>
      </c>
      <c r="AD153" s="8"/>
    </row>
    <row r="154" spans="1:30" x14ac:dyDescent="0.35">
      <c r="A154" t="s">
        <v>572</v>
      </c>
      <c r="B154" s="1">
        <v>45466</v>
      </c>
      <c r="C154" s="21">
        <f t="shared" si="29"/>
        <v>6</v>
      </c>
      <c r="D154" s="19">
        <f t="shared" si="26"/>
        <v>45444</v>
      </c>
      <c r="E154" s="21">
        <f t="shared" si="30"/>
        <v>2024</v>
      </c>
      <c r="F154" s="3">
        <f t="shared" si="27"/>
        <v>45444</v>
      </c>
      <c r="G154" t="s">
        <v>182</v>
      </c>
      <c r="H154" t="s">
        <v>574</v>
      </c>
      <c r="I154" t="s">
        <v>999</v>
      </c>
      <c r="J154" t="s">
        <v>1045</v>
      </c>
      <c r="K154" t="s">
        <v>47</v>
      </c>
      <c r="L154" t="s">
        <v>94</v>
      </c>
      <c r="M154" t="s">
        <v>19</v>
      </c>
      <c r="N154" t="s">
        <v>20</v>
      </c>
      <c r="O154" s="5">
        <v>10</v>
      </c>
      <c r="P154" s="16">
        <v>0</v>
      </c>
      <c r="Q154" s="2">
        <v>0.1</v>
      </c>
      <c r="R154" s="16">
        <v>274.77999999999997</v>
      </c>
      <c r="S154" t="s">
        <v>22</v>
      </c>
      <c r="T154" t="s">
        <v>56</v>
      </c>
      <c r="U154" t="str">
        <f t="shared" si="31"/>
        <v>Sale</v>
      </c>
      <c r="V154" t="str">
        <f t="shared" si="32"/>
        <v>Check</v>
      </c>
      <c r="W154" s="16">
        <f t="shared" si="33"/>
        <v>0</v>
      </c>
      <c r="X154" s="16">
        <f t="shared" si="34"/>
        <v>2747.7999999999997</v>
      </c>
      <c r="Y154" s="16">
        <f t="shared" si="28"/>
        <v>-2747.7999999999997</v>
      </c>
      <c r="Z154" s="16" t="str">
        <f t="shared" si="35"/>
        <v xml:space="preserve"> </v>
      </c>
      <c r="AD154" s="8"/>
    </row>
    <row r="155" spans="1:30" x14ac:dyDescent="0.35">
      <c r="A155" t="s">
        <v>575</v>
      </c>
      <c r="B155" s="1">
        <v>45700</v>
      </c>
      <c r="C155" s="21">
        <f t="shared" si="29"/>
        <v>2</v>
      </c>
      <c r="D155" s="19">
        <f t="shared" si="26"/>
        <v>45689</v>
      </c>
      <c r="E155" s="21">
        <f t="shared" si="30"/>
        <v>2025</v>
      </c>
      <c r="F155" s="3">
        <f t="shared" si="27"/>
        <v>45689</v>
      </c>
      <c r="G155" t="s">
        <v>369</v>
      </c>
      <c r="H155" t="s">
        <v>577</v>
      </c>
      <c r="I155" t="s">
        <v>908</v>
      </c>
      <c r="J155" t="s">
        <v>909</v>
      </c>
      <c r="K155" t="s">
        <v>17</v>
      </c>
      <c r="L155" t="s">
        <v>103</v>
      </c>
      <c r="M155" t="s">
        <v>19</v>
      </c>
      <c r="N155" t="s">
        <v>158</v>
      </c>
      <c r="O155" s="5">
        <v>2</v>
      </c>
      <c r="P155" s="16">
        <v>235.56</v>
      </c>
      <c r="Q155" s="2">
        <v>0.2</v>
      </c>
      <c r="R155" s="16">
        <v>634.63</v>
      </c>
      <c r="S155" t="s">
        <v>49</v>
      </c>
      <c r="T155" t="s">
        <v>23</v>
      </c>
      <c r="U155" t="str">
        <f t="shared" si="31"/>
        <v>Sale</v>
      </c>
      <c r="V155" t="str">
        <f t="shared" si="32"/>
        <v>OK</v>
      </c>
      <c r="W155" s="16">
        <f t="shared" si="33"/>
        <v>376.89600000000002</v>
      </c>
      <c r="X155" s="16">
        <f t="shared" si="34"/>
        <v>1269.26</v>
      </c>
      <c r="Y155" s="16">
        <f t="shared" si="28"/>
        <v>-892.36400000000003</v>
      </c>
      <c r="Z155" s="16">
        <f t="shared" si="35"/>
        <v>-2.3676664119544912</v>
      </c>
      <c r="AD155" s="8"/>
    </row>
    <row r="156" spans="1:30" x14ac:dyDescent="0.35">
      <c r="A156" t="s">
        <v>578</v>
      </c>
      <c r="B156" s="1">
        <v>45681</v>
      </c>
      <c r="C156" s="21">
        <f t="shared" si="29"/>
        <v>1</v>
      </c>
      <c r="D156" s="19">
        <f t="shared" si="26"/>
        <v>45658</v>
      </c>
      <c r="E156" s="21">
        <f t="shared" si="30"/>
        <v>2025</v>
      </c>
      <c r="F156" s="3">
        <f t="shared" si="27"/>
        <v>45658</v>
      </c>
      <c r="G156" t="s">
        <v>580</v>
      </c>
      <c r="H156" t="s">
        <v>581</v>
      </c>
      <c r="I156" t="s">
        <v>1000</v>
      </c>
      <c r="J156" t="s">
        <v>1046</v>
      </c>
      <c r="K156" t="s">
        <v>17</v>
      </c>
      <c r="L156" t="s">
        <v>62</v>
      </c>
      <c r="M156" t="s">
        <v>54</v>
      </c>
      <c r="N156" t="s">
        <v>55</v>
      </c>
      <c r="O156" s="5">
        <v>3</v>
      </c>
      <c r="P156" s="16">
        <v>649.30999999999995</v>
      </c>
      <c r="Q156" s="2">
        <v>0</v>
      </c>
      <c r="R156" s="16">
        <v>513.41999999999996</v>
      </c>
      <c r="S156" t="s">
        <v>35</v>
      </c>
      <c r="T156" t="s">
        <v>56</v>
      </c>
      <c r="U156" t="str">
        <f t="shared" si="31"/>
        <v>Sale</v>
      </c>
      <c r="V156" t="str">
        <f t="shared" si="32"/>
        <v>Check</v>
      </c>
      <c r="W156" s="16">
        <f t="shared" si="33"/>
        <v>1947.9299999999998</v>
      </c>
      <c r="X156" s="16">
        <f t="shared" si="34"/>
        <v>1540.2599999999998</v>
      </c>
      <c r="Y156" s="16">
        <f t="shared" si="28"/>
        <v>407.67000000000007</v>
      </c>
      <c r="Z156" s="16">
        <f t="shared" si="35"/>
        <v>0.20928370115969266</v>
      </c>
      <c r="AD156" s="8"/>
    </row>
    <row r="157" spans="1:30" x14ac:dyDescent="0.35">
      <c r="A157" t="s">
        <v>582</v>
      </c>
      <c r="B157" s="1">
        <v>45503</v>
      </c>
      <c r="C157" s="21">
        <f t="shared" si="29"/>
        <v>7</v>
      </c>
      <c r="D157" s="19">
        <f t="shared" si="26"/>
        <v>45474</v>
      </c>
      <c r="E157" s="21">
        <f t="shared" si="30"/>
        <v>2024</v>
      </c>
      <c r="F157" s="3">
        <f t="shared" si="27"/>
        <v>45474</v>
      </c>
      <c r="G157" t="s">
        <v>32</v>
      </c>
      <c r="H157" t="s">
        <v>288</v>
      </c>
      <c r="I157" t="s">
        <v>810</v>
      </c>
      <c r="J157" t="s">
        <v>811</v>
      </c>
      <c r="K157" t="s">
        <v>18</v>
      </c>
      <c r="L157" t="s">
        <v>41</v>
      </c>
      <c r="M157" t="s">
        <v>19</v>
      </c>
      <c r="N157" t="s">
        <v>158</v>
      </c>
      <c r="O157" s="5">
        <v>15</v>
      </c>
      <c r="P157" s="16">
        <v>1489.13</v>
      </c>
      <c r="Q157" s="2">
        <v>0.2</v>
      </c>
      <c r="R157" s="16">
        <v>522.05999999999995</v>
      </c>
      <c r="S157" t="s">
        <v>35</v>
      </c>
      <c r="T157" t="s">
        <v>56</v>
      </c>
      <c r="U157" t="str">
        <f t="shared" si="31"/>
        <v>Sale</v>
      </c>
      <c r="V157" t="str">
        <f t="shared" si="32"/>
        <v>Check</v>
      </c>
      <c r="W157" s="16">
        <f t="shared" si="33"/>
        <v>17869.560000000001</v>
      </c>
      <c r="X157" s="16">
        <f t="shared" si="34"/>
        <v>7830.9</v>
      </c>
      <c r="Y157" s="16">
        <f t="shared" si="28"/>
        <v>10038.660000000002</v>
      </c>
      <c r="Z157" s="16">
        <f t="shared" si="35"/>
        <v>0.56177432460564225</v>
      </c>
      <c r="AD157" s="8"/>
    </row>
    <row r="158" spans="1:30" x14ac:dyDescent="0.35">
      <c r="A158" t="s">
        <v>583</v>
      </c>
      <c r="B158" s="1">
        <v>45377</v>
      </c>
      <c r="C158" s="21">
        <f t="shared" si="29"/>
        <v>3</v>
      </c>
      <c r="D158" s="19">
        <f t="shared" si="26"/>
        <v>45352</v>
      </c>
      <c r="E158" s="21">
        <f t="shared" si="30"/>
        <v>2024</v>
      </c>
      <c r="F158" s="3">
        <f t="shared" si="27"/>
        <v>45352</v>
      </c>
      <c r="G158" t="s">
        <v>585</v>
      </c>
      <c r="H158" t="s">
        <v>586</v>
      </c>
      <c r="I158" t="s">
        <v>799</v>
      </c>
      <c r="J158" t="s">
        <v>910</v>
      </c>
      <c r="K158" t="s">
        <v>40</v>
      </c>
      <c r="L158" t="s">
        <v>103</v>
      </c>
      <c r="M158" t="s">
        <v>19</v>
      </c>
      <c r="N158" t="s">
        <v>20</v>
      </c>
      <c r="O158" s="5">
        <v>8</v>
      </c>
      <c r="P158" s="16">
        <v>544.88</v>
      </c>
      <c r="Q158" s="2">
        <v>0.1</v>
      </c>
      <c r="R158" s="16">
        <v>721.46</v>
      </c>
      <c r="S158" t="s">
        <v>22</v>
      </c>
      <c r="T158" t="s">
        <v>23</v>
      </c>
      <c r="U158" t="str">
        <f t="shared" si="31"/>
        <v>Sale</v>
      </c>
      <c r="V158" t="str">
        <f t="shared" si="32"/>
        <v>OK</v>
      </c>
      <c r="W158" s="16">
        <f t="shared" si="33"/>
        <v>3923.136</v>
      </c>
      <c r="X158" s="16">
        <f t="shared" si="34"/>
        <v>5771.68</v>
      </c>
      <c r="Y158" s="16">
        <f t="shared" si="28"/>
        <v>-1848.5440000000003</v>
      </c>
      <c r="Z158" s="16">
        <f t="shared" si="35"/>
        <v>-0.47119039462307716</v>
      </c>
      <c r="AD158" s="8"/>
    </row>
    <row r="159" spans="1:30" x14ac:dyDescent="0.35">
      <c r="A159" t="s">
        <v>587</v>
      </c>
      <c r="B159" s="1">
        <v>45462</v>
      </c>
      <c r="C159" s="21">
        <f t="shared" si="29"/>
        <v>6</v>
      </c>
      <c r="D159" s="19">
        <f t="shared" si="26"/>
        <v>45444</v>
      </c>
      <c r="E159" s="21">
        <f t="shared" si="30"/>
        <v>2024</v>
      </c>
      <c r="F159" s="3">
        <f t="shared" si="27"/>
        <v>45444</v>
      </c>
      <c r="G159" t="s">
        <v>589</v>
      </c>
      <c r="H159" t="s">
        <v>590</v>
      </c>
      <c r="I159" t="s">
        <v>911</v>
      </c>
      <c r="J159" t="s">
        <v>912</v>
      </c>
      <c r="K159" t="s">
        <v>83</v>
      </c>
      <c r="L159" t="s">
        <v>94</v>
      </c>
      <c r="M159" t="s">
        <v>19</v>
      </c>
      <c r="N159" t="s">
        <v>88</v>
      </c>
      <c r="O159" s="5">
        <v>14</v>
      </c>
      <c r="P159" s="16">
        <v>505.43</v>
      </c>
      <c r="Q159" s="2">
        <v>0.05</v>
      </c>
      <c r="R159" s="16">
        <v>859.79</v>
      </c>
      <c r="S159" t="s">
        <v>35</v>
      </c>
      <c r="T159" t="s">
        <v>23</v>
      </c>
      <c r="U159" t="str">
        <f t="shared" si="31"/>
        <v>Sale</v>
      </c>
      <c r="V159" t="str">
        <f t="shared" si="32"/>
        <v>OK</v>
      </c>
      <c r="W159" s="16">
        <f t="shared" si="33"/>
        <v>6722.2190000000001</v>
      </c>
      <c r="X159" s="16">
        <f t="shared" si="34"/>
        <v>12037.06</v>
      </c>
      <c r="Y159" s="16">
        <f t="shared" si="28"/>
        <v>-5314.8409999999994</v>
      </c>
      <c r="Z159" s="16">
        <f t="shared" si="35"/>
        <v>-0.7906378831156794</v>
      </c>
      <c r="AD159" s="8"/>
    </row>
    <row r="160" spans="1:30" x14ac:dyDescent="0.35">
      <c r="A160" t="s">
        <v>591</v>
      </c>
      <c r="B160" s="1">
        <v>45441</v>
      </c>
      <c r="C160" s="21">
        <f t="shared" si="29"/>
        <v>5</v>
      </c>
      <c r="D160" s="19">
        <f t="shared" si="26"/>
        <v>45413</v>
      </c>
      <c r="E160" s="21">
        <f t="shared" si="30"/>
        <v>2024</v>
      </c>
      <c r="F160" s="3">
        <f t="shared" si="27"/>
        <v>45413</v>
      </c>
      <c r="G160" t="s">
        <v>476</v>
      </c>
      <c r="H160" t="s">
        <v>593</v>
      </c>
      <c r="I160" t="s">
        <v>913</v>
      </c>
      <c r="J160" t="s">
        <v>914</v>
      </c>
      <c r="K160" t="s">
        <v>83</v>
      </c>
      <c r="L160" t="s">
        <v>62</v>
      </c>
      <c r="M160" t="s">
        <v>54</v>
      </c>
      <c r="N160" t="s">
        <v>55</v>
      </c>
      <c r="O160" s="5">
        <v>10</v>
      </c>
      <c r="P160" s="16">
        <v>492.2</v>
      </c>
      <c r="Q160" s="2">
        <v>0.1</v>
      </c>
      <c r="R160" s="16">
        <v>786.29</v>
      </c>
      <c r="S160" t="s">
        <v>22</v>
      </c>
      <c r="T160" t="s">
        <v>23</v>
      </c>
      <c r="U160" t="str">
        <f t="shared" si="31"/>
        <v>Sale</v>
      </c>
      <c r="V160" t="str">
        <f t="shared" si="32"/>
        <v>OK</v>
      </c>
      <c r="W160" s="16">
        <f t="shared" si="33"/>
        <v>4429.8</v>
      </c>
      <c r="X160" s="16">
        <f t="shared" si="34"/>
        <v>7862.9</v>
      </c>
      <c r="Y160" s="16">
        <f t="shared" si="28"/>
        <v>-3433.0999999999995</v>
      </c>
      <c r="Z160" s="16">
        <f t="shared" si="35"/>
        <v>-0.77500112871912941</v>
      </c>
      <c r="AD160" s="8"/>
    </row>
    <row r="161" spans="1:30" x14ac:dyDescent="0.35">
      <c r="A161" t="s">
        <v>594</v>
      </c>
      <c r="B161" s="1">
        <v>45399</v>
      </c>
      <c r="C161" s="21">
        <f t="shared" si="29"/>
        <v>4</v>
      </c>
      <c r="D161" s="19">
        <f t="shared" si="26"/>
        <v>45383</v>
      </c>
      <c r="E161" s="21">
        <f t="shared" si="30"/>
        <v>2024</v>
      </c>
      <c r="F161" s="3">
        <f t="shared" si="27"/>
        <v>45383</v>
      </c>
      <c r="G161" t="s">
        <v>38</v>
      </c>
      <c r="H161" t="s">
        <v>596</v>
      </c>
      <c r="I161" t="s">
        <v>996</v>
      </c>
      <c r="J161" t="s">
        <v>1047</v>
      </c>
      <c r="K161" t="s">
        <v>18</v>
      </c>
      <c r="L161" t="s">
        <v>34</v>
      </c>
      <c r="M161" t="s">
        <v>54</v>
      </c>
      <c r="N161" t="s">
        <v>68</v>
      </c>
      <c r="O161" s="5">
        <v>12</v>
      </c>
      <c r="P161" s="16">
        <v>1272.44</v>
      </c>
      <c r="Q161" s="2">
        <v>0.05</v>
      </c>
      <c r="R161" s="16">
        <v>673.63</v>
      </c>
      <c r="S161" t="s">
        <v>22</v>
      </c>
      <c r="T161" t="s">
        <v>56</v>
      </c>
      <c r="U161" t="str">
        <f t="shared" si="31"/>
        <v>Sale</v>
      </c>
      <c r="V161" t="str">
        <f t="shared" si="32"/>
        <v>Check</v>
      </c>
      <c r="W161" s="16">
        <f t="shared" si="33"/>
        <v>14505.816000000001</v>
      </c>
      <c r="X161" s="16">
        <f t="shared" si="34"/>
        <v>8083.5599999999995</v>
      </c>
      <c r="Y161" s="16">
        <f t="shared" si="28"/>
        <v>6422.2560000000012</v>
      </c>
      <c r="Z161" s="16">
        <f t="shared" si="35"/>
        <v>0.44273662371010364</v>
      </c>
      <c r="AD161" s="8"/>
    </row>
    <row r="162" spans="1:30" x14ac:dyDescent="0.35">
      <c r="A162" t="s">
        <v>597</v>
      </c>
      <c r="B162" s="1">
        <v>45521</v>
      </c>
      <c r="C162" s="21">
        <f t="shared" si="29"/>
        <v>8</v>
      </c>
      <c r="D162" s="19">
        <f t="shared" ref="D162:D193" si="36">DATE(YEAR(B162),MONTH(B162),DAY(1))</f>
        <v>45505</v>
      </c>
      <c r="E162" s="21">
        <f t="shared" si="30"/>
        <v>2024</v>
      </c>
      <c r="F162" s="3">
        <f t="shared" ref="F162:F193" si="37">DATE(YEAR(B162),MONTH(B162),DAY(1))</f>
        <v>45505</v>
      </c>
      <c r="G162" t="s">
        <v>353</v>
      </c>
      <c r="H162" t="s">
        <v>599</v>
      </c>
      <c r="I162" t="s">
        <v>915</v>
      </c>
      <c r="J162" t="s">
        <v>916</v>
      </c>
      <c r="K162" t="s">
        <v>17</v>
      </c>
      <c r="L162" t="s">
        <v>103</v>
      </c>
      <c r="M162" t="s">
        <v>54</v>
      </c>
      <c r="N162" t="s">
        <v>74</v>
      </c>
      <c r="O162" s="5">
        <v>7</v>
      </c>
      <c r="P162" s="16">
        <v>1385.63</v>
      </c>
      <c r="Q162" s="2">
        <v>0</v>
      </c>
      <c r="R162" s="16">
        <v>419.46</v>
      </c>
      <c r="S162" t="s">
        <v>22</v>
      </c>
      <c r="T162" t="s">
        <v>23</v>
      </c>
      <c r="U162" t="str">
        <f t="shared" si="31"/>
        <v>Sale</v>
      </c>
      <c r="V162" t="str">
        <f t="shared" si="32"/>
        <v>OK</v>
      </c>
      <c r="W162" s="16">
        <f t="shared" si="33"/>
        <v>9699.41</v>
      </c>
      <c r="X162" s="16">
        <f t="shared" si="34"/>
        <v>2936.22</v>
      </c>
      <c r="Y162" s="16">
        <f t="shared" ref="Y162:Y193" si="38">W162-X162</f>
        <v>6763.1900000000005</v>
      </c>
      <c r="Z162" s="16">
        <f t="shared" si="35"/>
        <v>0.69727849425892918</v>
      </c>
      <c r="AD162" s="8"/>
    </row>
    <row r="163" spans="1:30" x14ac:dyDescent="0.35">
      <c r="A163" t="s">
        <v>600</v>
      </c>
      <c r="B163" s="1">
        <v>45580</v>
      </c>
      <c r="C163" s="21">
        <f t="shared" si="29"/>
        <v>10</v>
      </c>
      <c r="D163" s="19">
        <f t="shared" si="36"/>
        <v>45566</v>
      </c>
      <c r="E163" s="21">
        <f t="shared" si="30"/>
        <v>2024</v>
      </c>
      <c r="F163" s="3">
        <f t="shared" si="37"/>
        <v>45566</v>
      </c>
      <c r="G163" t="s">
        <v>294</v>
      </c>
      <c r="H163" t="s">
        <v>602</v>
      </c>
      <c r="I163" t="s">
        <v>1001</v>
      </c>
      <c r="J163" t="s">
        <v>921</v>
      </c>
      <c r="K163" t="s">
        <v>83</v>
      </c>
      <c r="L163" t="s">
        <v>94</v>
      </c>
      <c r="M163" t="s">
        <v>19</v>
      </c>
      <c r="N163" t="s">
        <v>20</v>
      </c>
      <c r="O163" s="5">
        <v>7</v>
      </c>
      <c r="P163" s="16">
        <v>500.74</v>
      </c>
      <c r="Q163" s="2">
        <v>0</v>
      </c>
      <c r="R163" s="16">
        <v>107.73</v>
      </c>
      <c r="S163" t="s">
        <v>35</v>
      </c>
      <c r="T163" t="s">
        <v>56</v>
      </c>
      <c r="U163" t="str">
        <f t="shared" si="31"/>
        <v>Sale</v>
      </c>
      <c r="V163" t="str">
        <f t="shared" si="32"/>
        <v>Check</v>
      </c>
      <c r="W163" s="16">
        <f t="shared" si="33"/>
        <v>3505.1800000000003</v>
      </c>
      <c r="X163" s="16">
        <f t="shared" si="34"/>
        <v>754.11</v>
      </c>
      <c r="Y163" s="16">
        <f t="shared" si="38"/>
        <v>2751.07</v>
      </c>
      <c r="Z163" s="16">
        <f t="shared" si="35"/>
        <v>0.78485840955386021</v>
      </c>
      <c r="AD163" s="8"/>
    </row>
    <row r="164" spans="1:30" x14ac:dyDescent="0.35">
      <c r="A164" t="s">
        <v>603</v>
      </c>
      <c r="B164" s="1">
        <v>45593</v>
      </c>
      <c r="C164" s="21">
        <f t="shared" si="29"/>
        <v>10</v>
      </c>
      <c r="D164" s="19">
        <f t="shared" si="36"/>
        <v>45566</v>
      </c>
      <c r="E164" s="21">
        <f t="shared" si="30"/>
        <v>2024</v>
      </c>
      <c r="F164" s="3">
        <f t="shared" si="37"/>
        <v>45566</v>
      </c>
      <c r="G164" t="s">
        <v>605</v>
      </c>
      <c r="H164" t="s">
        <v>606</v>
      </c>
      <c r="I164" t="s">
        <v>978</v>
      </c>
      <c r="J164" t="s">
        <v>1048</v>
      </c>
      <c r="K164" t="s">
        <v>768</v>
      </c>
      <c r="L164" t="s">
        <v>94</v>
      </c>
      <c r="M164" t="s">
        <v>54</v>
      </c>
      <c r="N164" t="s">
        <v>68</v>
      </c>
      <c r="O164" s="5">
        <v>1</v>
      </c>
      <c r="P164" s="16">
        <v>446.67</v>
      </c>
      <c r="Q164" s="2">
        <v>0.2</v>
      </c>
      <c r="R164" s="16">
        <v>87.68</v>
      </c>
      <c r="S164" t="s">
        <v>22</v>
      </c>
      <c r="T164" t="s">
        <v>56</v>
      </c>
      <c r="U164" t="str">
        <f t="shared" si="31"/>
        <v>Sale</v>
      </c>
      <c r="V164" t="str">
        <f t="shared" si="32"/>
        <v>Check</v>
      </c>
      <c r="W164" s="16">
        <f t="shared" si="33"/>
        <v>357.33600000000001</v>
      </c>
      <c r="X164" s="16">
        <f t="shared" si="34"/>
        <v>87.68</v>
      </c>
      <c r="Y164" s="16">
        <f t="shared" si="38"/>
        <v>269.65600000000001</v>
      </c>
      <c r="Z164" s="16">
        <f t="shared" si="35"/>
        <v>0.75462869680077016</v>
      </c>
      <c r="AD164" s="8"/>
    </row>
    <row r="165" spans="1:30" x14ac:dyDescent="0.35">
      <c r="A165" t="s">
        <v>607</v>
      </c>
      <c r="B165" s="1">
        <v>45341</v>
      </c>
      <c r="C165" s="21">
        <f t="shared" si="29"/>
        <v>2</v>
      </c>
      <c r="D165" s="19">
        <f t="shared" si="36"/>
        <v>45323</v>
      </c>
      <c r="E165" s="21">
        <f t="shared" si="30"/>
        <v>2024</v>
      </c>
      <c r="F165" s="3">
        <f t="shared" si="37"/>
        <v>45323</v>
      </c>
      <c r="G165" t="s">
        <v>449</v>
      </c>
      <c r="H165" t="s">
        <v>609</v>
      </c>
      <c r="I165" t="s">
        <v>917</v>
      </c>
      <c r="J165" t="s">
        <v>918</v>
      </c>
      <c r="K165" t="s">
        <v>40</v>
      </c>
      <c r="L165" t="s">
        <v>34</v>
      </c>
      <c r="M165" t="s">
        <v>19</v>
      </c>
      <c r="N165" t="s">
        <v>88</v>
      </c>
      <c r="O165" s="5">
        <v>6</v>
      </c>
      <c r="P165" s="16">
        <v>71.8</v>
      </c>
      <c r="Q165" s="2">
        <v>0.1</v>
      </c>
      <c r="R165" s="16">
        <v>24.54</v>
      </c>
      <c r="S165" t="s">
        <v>22</v>
      </c>
      <c r="T165" t="s">
        <v>23</v>
      </c>
      <c r="U165" t="str">
        <f t="shared" si="31"/>
        <v>Sale</v>
      </c>
      <c r="V165" t="str">
        <f t="shared" si="32"/>
        <v>OK</v>
      </c>
      <c r="W165" s="16">
        <f t="shared" si="33"/>
        <v>387.71999999999997</v>
      </c>
      <c r="X165" s="16">
        <f t="shared" si="34"/>
        <v>147.24</v>
      </c>
      <c r="Y165" s="16">
        <f t="shared" si="38"/>
        <v>240.47999999999996</v>
      </c>
      <c r="Z165" s="16">
        <f t="shared" si="35"/>
        <v>0.62024141132776223</v>
      </c>
      <c r="AD165" s="8"/>
    </row>
    <row r="166" spans="1:30" x14ac:dyDescent="0.35">
      <c r="A166" t="s">
        <v>610</v>
      </c>
      <c r="B166" s="1">
        <v>45461</v>
      </c>
      <c r="C166" s="21">
        <f t="shared" si="29"/>
        <v>6</v>
      </c>
      <c r="D166" s="19">
        <f t="shared" si="36"/>
        <v>45444</v>
      </c>
      <c r="E166" s="21">
        <f t="shared" si="30"/>
        <v>2024</v>
      </c>
      <c r="F166" s="3">
        <f t="shared" si="37"/>
        <v>45444</v>
      </c>
      <c r="G166" t="s">
        <v>580</v>
      </c>
      <c r="H166" t="s">
        <v>612</v>
      </c>
      <c r="I166" t="s">
        <v>1002</v>
      </c>
      <c r="J166" t="s">
        <v>1049</v>
      </c>
      <c r="K166" t="s">
        <v>83</v>
      </c>
      <c r="L166" t="s">
        <v>94</v>
      </c>
      <c r="M166" t="s">
        <v>28</v>
      </c>
      <c r="N166" t="s">
        <v>29</v>
      </c>
      <c r="O166" s="5">
        <v>4</v>
      </c>
      <c r="P166" s="16">
        <v>946.49</v>
      </c>
      <c r="Q166" s="2">
        <v>0.1</v>
      </c>
      <c r="R166" s="16">
        <v>657.99</v>
      </c>
      <c r="S166" t="s">
        <v>1058</v>
      </c>
      <c r="T166" t="s">
        <v>56</v>
      </c>
      <c r="U166" t="str">
        <f t="shared" si="31"/>
        <v>Sale</v>
      </c>
      <c r="V166" t="str">
        <f t="shared" si="32"/>
        <v>Check</v>
      </c>
      <c r="W166" s="16">
        <f t="shared" si="33"/>
        <v>3407.364</v>
      </c>
      <c r="X166" s="16">
        <f t="shared" si="34"/>
        <v>2631.96</v>
      </c>
      <c r="Y166" s="16">
        <f t="shared" si="38"/>
        <v>775.404</v>
      </c>
      <c r="Z166" s="16">
        <f t="shared" si="35"/>
        <v>0.22756711639848282</v>
      </c>
      <c r="AD166" s="8"/>
    </row>
    <row r="167" spans="1:30" x14ac:dyDescent="0.35">
      <c r="A167" t="s">
        <v>613</v>
      </c>
      <c r="B167" s="1">
        <v>45397</v>
      </c>
      <c r="C167" s="21">
        <f t="shared" si="29"/>
        <v>4</v>
      </c>
      <c r="D167" s="19">
        <f t="shared" si="36"/>
        <v>45383</v>
      </c>
      <c r="E167" s="21">
        <f t="shared" si="30"/>
        <v>2024</v>
      </c>
      <c r="F167" s="3">
        <f t="shared" si="37"/>
        <v>45383</v>
      </c>
      <c r="G167" t="s">
        <v>353</v>
      </c>
      <c r="H167" t="s">
        <v>615</v>
      </c>
      <c r="I167" t="s">
        <v>1003</v>
      </c>
      <c r="J167" t="s">
        <v>1050</v>
      </c>
      <c r="K167" t="s">
        <v>40</v>
      </c>
      <c r="L167" t="s">
        <v>103</v>
      </c>
      <c r="M167" t="s">
        <v>19</v>
      </c>
      <c r="N167" t="s">
        <v>135</v>
      </c>
      <c r="O167" s="5">
        <v>12</v>
      </c>
      <c r="P167" s="16">
        <v>98.53</v>
      </c>
      <c r="Q167" s="2">
        <v>0.05</v>
      </c>
      <c r="R167" s="16">
        <v>872.24</v>
      </c>
      <c r="S167" t="s">
        <v>35</v>
      </c>
      <c r="T167" t="s">
        <v>56</v>
      </c>
      <c r="U167" t="str">
        <f t="shared" si="31"/>
        <v>Sale</v>
      </c>
      <c r="V167" t="str">
        <f t="shared" si="32"/>
        <v>Check</v>
      </c>
      <c r="W167" s="16">
        <f t="shared" si="33"/>
        <v>1123.242</v>
      </c>
      <c r="X167" s="16">
        <f t="shared" si="34"/>
        <v>10466.880000000001</v>
      </c>
      <c r="Y167" s="16">
        <f t="shared" si="38"/>
        <v>-9343.6380000000008</v>
      </c>
      <c r="Z167" s="16">
        <f t="shared" si="35"/>
        <v>-8.3184549723033872</v>
      </c>
      <c r="AD167" s="8"/>
    </row>
    <row r="168" spans="1:30" x14ac:dyDescent="0.35">
      <c r="A168" t="s">
        <v>616</v>
      </c>
      <c r="B168" s="1">
        <v>45541</v>
      </c>
      <c r="C168" s="21">
        <f t="shared" si="29"/>
        <v>9</v>
      </c>
      <c r="D168" s="19">
        <f t="shared" si="36"/>
        <v>45536</v>
      </c>
      <c r="E168" s="21">
        <f t="shared" si="30"/>
        <v>2024</v>
      </c>
      <c r="F168" s="3">
        <f t="shared" si="37"/>
        <v>45536</v>
      </c>
      <c r="G168" t="s">
        <v>618</v>
      </c>
      <c r="H168" t="s">
        <v>619</v>
      </c>
      <c r="I168" t="s">
        <v>919</v>
      </c>
      <c r="J168" t="s">
        <v>882</v>
      </c>
      <c r="K168" t="s">
        <v>17</v>
      </c>
      <c r="L168" t="s">
        <v>34</v>
      </c>
      <c r="M168" t="s">
        <v>28</v>
      </c>
      <c r="N168" t="s">
        <v>153</v>
      </c>
      <c r="O168" s="5">
        <v>10</v>
      </c>
      <c r="P168" s="16">
        <v>531.22</v>
      </c>
      <c r="Q168" s="2">
        <v>0.2</v>
      </c>
      <c r="R168" s="16">
        <v>174.18</v>
      </c>
      <c r="S168" t="s">
        <v>22</v>
      </c>
      <c r="T168" t="s">
        <v>23</v>
      </c>
      <c r="U168" t="str">
        <f t="shared" si="31"/>
        <v>Sale</v>
      </c>
      <c r="V168" t="str">
        <f t="shared" si="32"/>
        <v>OK</v>
      </c>
      <c r="W168" s="16">
        <f t="shared" si="33"/>
        <v>4249.7600000000011</v>
      </c>
      <c r="X168" s="16">
        <f t="shared" si="34"/>
        <v>1741.8000000000002</v>
      </c>
      <c r="Y168" s="16">
        <f t="shared" si="38"/>
        <v>2507.9600000000009</v>
      </c>
      <c r="Z168" s="16">
        <f t="shared" si="35"/>
        <v>0.59014156093520587</v>
      </c>
      <c r="AD168" s="8"/>
    </row>
    <row r="169" spans="1:30" x14ac:dyDescent="0.35">
      <c r="A169" t="s">
        <v>620</v>
      </c>
      <c r="B169" s="1">
        <v>45448</v>
      </c>
      <c r="C169" s="21">
        <f t="shared" si="29"/>
        <v>6</v>
      </c>
      <c r="D169" s="19">
        <f t="shared" si="36"/>
        <v>45444</v>
      </c>
      <c r="E169" s="21">
        <f t="shared" si="30"/>
        <v>2024</v>
      </c>
      <c r="F169" s="3">
        <f t="shared" si="37"/>
        <v>45444</v>
      </c>
      <c r="G169" t="s">
        <v>129</v>
      </c>
      <c r="H169" t="s">
        <v>622</v>
      </c>
      <c r="I169" t="s">
        <v>1004</v>
      </c>
      <c r="J169" t="s">
        <v>1051</v>
      </c>
      <c r="K169" t="s">
        <v>40</v>
      </c>
      <c r="L169" t="s">
        <v>62</v>
      </c>
      <c r="M169" t="s">
        <v>19</v>
      </c>
      <c r="N169" t="s">
        <v>135</v>
      </c>
      <c r="O169" s="5">
        <v>6</v>
      </c>
      <c r="P169" s="16">
        <v>768.68</v>
      </c>
      <c r="Q169" s="2">
        <v>0.1</v>
      </c>
      <c r="R169" s="16">
        <v>139.59</v>
      </c>
      <c r="S169" t="s">
        <v>22</v>
      </c>
      <c r="T169" t="s">
        <v>56</v>
      </c>
      <c r="U169" t="str">
        <f t="shared" si="31"/>
        <v>Sale</v>
      </c>
      <c r="V169" t="str">
        <f t="shared" si="32"/>
        <v>Check</v>
      </c>
      <c r="W169" s="16">
        <f t="shared" si="33"/>
        <v>4150.8720000000003</v>
      </c>
      <c r="X169" s="16">
        <f t="shared" si="34"/>
        <v>837.54</v>
      </c>
      <c r="Y169" s="16">
        <f t="shared" si="38"/>
        <v>3313.3320000000003</v>
      </c>
      <c r="Z169" s="16">
        <f t="shared" si="35"/>
        <v>0.79822552947910708</v>
      </c>
      <c r="AD169" s="8"/>
    </row>
    <row r="170" spans="1:30" x14ac:dyDescent="0.35">
      <c r="A170" t="s">
        <v>623</v>
      </c>
      <c r="B170" s="1">
        <v>45387</v>
      </c>
      <c r="C170" s="21">
        <f t="shared" si="29"/>
        <v>4</v>
      </c>
      <c r="D170" s="19">
        <f t="shared" si="36"/>
        <v>45383</v>
      </c>
      <c r="E170" s="21">
        <f t="shared" si="30"/>
        <v>2024</v>
      </c>
      <c r="F170" s="3">
        <f t="shared" si="37"/>
        <v>45383</v>
      </c>
      <c r="G170" t="s">
        <v>466</v>
      </c>
      <c r="H170" t="s">
        <v>625</v>
      </c>
      <c r="I170" t="s">
        <v>859</v>
      </c>
      <c r="J170" t="s">
        <v>1009</v>
      </c>
      <c r="K170" t="s">
        <v>40</v>
      </c>
      <c r="L170" t="s">
        <v>94</v>
      </c>
      <c r="M170" t="s">
        <v>19</v>
      </c>
      <c r="N170" t="s">
        <v>135</v>
      </c>
      <c r="O170" s="5">
        <v>1</v>
      </c>
      <c r="P170" s="16">
        <v>1428</v>
      </c>
      <c r="Q170" s="2">
        <v>0.1</v>
      </c>
      <c r="R170" s="16">
        <v>196.74</v>
      </c>
      <c r="S170" t="s">
        <v>1058</v>
      </c>
      <c r="T170" t="s">
        <v>56</v>
      </c>
      <c r="U170" t="str">
        <f t="shared" si="31"/>
        <v>Sale</v>
      </c>
      <c r="V170" t="str">
        <f t="shared" si="32"/>
        <v>Check</v>
      </c>
      <c r="W170" s="16">
        <f t="shared" si="33"/>
        <v>1285.2</v>
      </c>
      <c r="X170" s="16">
        <f t="shared" si="34"/>
        <v>196.74</v>
      </c>
      <c r="Y170" s="16">
        <f t="shared" si="38"/>
        <v>1088.46</v>
      </c>
      <c r="Z170" s="16">
        <f t="shared" si="35"/>
        <v>0.84691876750700279</v>
      </c>
      <c r="AD170" s="8"/>
    </row>
    <row r="171" spans="1:30" x14ac:dyDescent="0.35">
      <c r="A171" t="s">
        <v>626</v>
      </c>
      <c r="B171" s="1">
        <v>45377</v>
      </c>
      <c r="C171" s="21">
        <f t="shared" si="29"/>
        <v>3</v>
      </c>
      <c r="D171" s="19">
        <f t="shared" si="36"/>
        <v>45352</v>
      </c>
      <c r="E171" s="21">
        <f t="shared" si="30"/>
        <v>2024</v>
      </c>
      <c r="F171" s="3">
        <f t="shared" si="37"/>
        <v>45352</v>
      </c>
      <c r="G171" t="s">
        <v>628</v>
      </c>
      <c r="H171" t="s">
        <v>629</v>
      </c>
      <c r="I171" t="s">
        <v>920</v>
      </c>
      <c r="J171" t="s">
        <v>921</v>
      </c>
      <c r="K171" t="s">
        <v>40</v>
      </c>
      <c r="L171" t="s">
        <v>62</v>
      </c>
      <c r="M171" t="s">
        <v>54</v>
      </c>
      <c r="N171" t="s">
        <v>55</v>
      </c>
      <c r="O171" s="5">
        <v>1</v>
      </c>
      <c r="P171" s="16">
        <v>0</v>
      </c>
      <c r="Q171" s="2">
        <v>0.1</v>
      </c>
      <c r="R171" s="16">
        <v>226.39</v>
      </c>
      <c r="S171" t="s">
        <v>49</v>
      </c>
      <c r="T171" t="s">
        <v>23</v>
      </c>
      <c r="U171" t="str">
        <f t="shared" si="31"/>
        <v>Sale</v>
      </c>
      <c r="V171" t="str">
        <f t="shared" si="32"/>
        <v>OK</v>
      </c>
      <c r="W171" s="16">
        <f t="shared" si="33"/>
        <v>0</v>
      </c>
      <c r="X171" s="16">
        <f t="shared" si="34"/>
        <v>226.39</v>
      </c>
      <c r="Y171" s="16">
        <f t="shared" si="38"/>
        <v>-226.39</v>
      </c>
      <c r="Z171" s="16" t="str">
        <f t="shared" si="35"/>
        <v xml:space="preserve"> </v>
      </c>
      <c r="AD171" s="8"/>
    </row>
    <row r="172" spans="1:30" x14ac:dyDescent="0.35">
      <c r="A172" t="s">
        <v>630</v>
      </c>
      <c r="B172" s="1">
        <v>45569</v>
      </c>
      <c r="C172" s="21">
        <f t="shared" si="29"/>
        <v>10</v>
      </c>
      <c r="D172" s="19">
        <f t="shared" si="36"/>
        <v>45566</v>
      </c>
      <c r="E172" s="21">
        <f t="shared" si="30"/>
        <v>2024</v>
      </c>
      <c r="F172" s="3">
        <f t="shared" si="37"/>
        <v>45566</v>
      </c>
      <c r="G172" t="s">
        <v>81</v>
      </c>
      <c r="H172" t="s">
        <v>632</v>
      </c>
      <c r="I172" t="s">
        <v>922</v>
      </c>
      <c r="J172" t="s">
        <v>923</v>
      </c>
      <c r="K172" t="s">
        <v>47</v>
      </c>
      <c r="L172" t="s">
        <v>94</v>
      </c>
      <c r="M172" t="s">
        <v>19</v>
      </c>
      <c r="N172" t="s">
        <v>158</v>
      </c>
      <c r="O172" s="5">
        <v>12</v>
      </c>
      <c r="P172" s="16">
        <v>331.72</v>
      </c>
      <c r="Q172" s="2">
        <v>0.2</v>
      </c>
      <c r="R172" s="16">
        <v>736.52</v>
      </c>
      <c r="S172" t="s">
        <v>35</v>
      </c>
      <c r="T172" t="s">
        <v>23</v>
      </c>
      <c r="U172" t="str">
        <f t="shared" si="31"/>
        <v>Sale</v>
      </c>
      <c r="V172" t="str">
        <f t="shared" si="32"/>
        <v>OK</v>
      </c>
      <c r="W172" s="16">
        <f t="shared" si="33"/>
        <v>3184.5120000000006</v>
      </c>
      <c r="X172" s="16">
        <f t="shared" si="34"/>
        <v>8838.24</v>
      </c>
      <c r="Y172" s="16">
        <f t="shared" si="38"/>
        <v>-5653.7279999999992</v>
      </c>
      <c r="Z172" s="16">
        <f t="shared" si="35"/>
        <v>-1.7753828530085609</v>
      </c>
      <c r="AD172" s="8"/>
    </row>
    <row r="173" spans="1:30" x14ac:dyDescent="0.35">
      <c r="A173" t="s">
        <v>633</v>
      </c>
      <c r="B173" s="1">
        <v>45735</v>
      </c>
      <c r="C173" s="21">
        <f t="shared" si="29"/>
        <v>3</v>
      </c>
      <c r="D173" s="19">
        <f t="shared" si="36"/>
        <v>45717</v>
      </c>
      <c r="E173" s="21">
        <f t="shared" si="30"/>
        <v>2025</v>
      </c>
      <c r="F173" s="3">
        <f t="shared" si="37"/>
        <v>45717</v>
      </c>
      <c r="G173" t="s">
        <v>635</v>
      </c>
      <c r="H173" t="s">
        <v>636</v>
      </c>
      <c r="I173" t="s">
        <v>859</v>
      </c>
      <c r="J173" t="s">
        <v>924</v>
      </c>
      <c r="K173" t="s">
        <v>40</v>
      </c>
      <c r="L173" t="s">
        <v>18</v>
      </c>
      <c r="M173" t="s">
        <v>19</v>
      </c>
      <c r="N173" t="s">
        <v>88</v>
      </c>
      <c r="O173" s="5">
        <v>4</v>
      </c>
      <c r="P173" s="16">
        <v>1107.73</v>
      </c>
      <c r="Q173" s="2">
        <v>0.05</v>
      </c>
      <c r="R173" s="16">
        <v>861.33</v>
      </c>
      <c r="S173" t="s">
        <v>22</v>
      </c>
      <c r="T173" t="s">
        <v>23</v>
      </c>
      <c r="U173" t="str">
        <f t="shared" si="31"/>
        <v>Sale</v>
      </c>
      <c r="V173" t="str">
        <f t="shared" si="32"/>
        <v>OK</v>
      </c>
      <c r="W173" s="16">
        <f t="shared" si="33"/>
        <v>4209.3739999999998</v>
      </c>
      <c r="X173" s="16">
        <f t="shared" si="34"/>
        <v>3445.32</v>
      </c>
      <c r="Y173" s="16">
        <f t="shared" si="38"/>
        <v>764.05399999999963</v>
      </c>
      <c r="Z173" s="16">
        <f t="shared" si="35"/>
        <v>0.18151250043355607</v>
      </c>
      <c r="AD173" s="8"/>
    </row>
    <row r="174" spans="1:30" x14ac:dyDescent="0.35">
      <c r="A174" t="s">
        <v>637</v>
      </c>
      <c r="B174" s="1">
        <v>45564</v>
      </c>
      <c r="C174" s="21">
        <f t="shared" si="29"/>
        <v>9</v>
      </c>
      <c r="D174" s="19">
        <f t="shared" si="36"/>
        <v>45536</v>
      </c>
      <c r="E174" s="21">
        <f t="shared" si="30"/>
        <v>2024</v>
      </c>
      <c r="F174" s="3">
        <f t="shared" si="37"/>
        <v>45536</v>
      </c>
      <c r="G174" t="s">
        <v>639</v>
      </c>
      <c r="H174" t="s">
        <v>640</v>
      </c>
      <c r="I174" t="s">
        <v>925</v>
      </c>
      <c r="J174" t="s">
        <v>882</v>
      </c>
      <c r="K174" t="s">
        <v>40</v>
      </c>
      <c r="L174" t="s">
        <v>94</v>
      </c>
      <c r="M174" t="s">
        <v>28</v>
      </c>
      <c r="N174" t="s">
        <v>63</v>
      </c>
      <c r="O174" s="5">
        <v>9</v>
      </c>
      <c r="P174" s="16">
        <v>1468.61</v>
      </c>
      <c r="Q174" s="2">
        <v>0.05</v>
      </c>
      <c r="R174" s="16">
        <v>573.59</v>
      </c>
      <c r="S174" t="s">
        <v>49</v>
      </c>
      <c r="T174" t="s">
        <v>23</v>
      </c>
      <c r="U174" t="str">
        <f t="shared" si="31"/>
        <v>Sale</v>
      </c>
      <c r="V174" t="str">
        <f t="shared" si="32"/>
        <v>OK</v>
      </c>
      <c r="W174" s="16">
        <f t="shared" si="33"/>
        <v>12556.6155</v>
      </c>
      <c r="X174" s="16">
        <f t="shared" si="34"/>
        <v>5162.3100000000004</v>
      </c>
      <c r="Y174" s="16">
        <f t="shared" si="38"/>
        <v>7394.3054999999995</v>
      </c>
      <c r="Z174" s="16">
        <f t="shared" si="35"/>
        <v>0.58887727349778285</v>
      </c>
      <c r="AD174" s="8"/>
    </row>
    <row r="175" spans="1:30" x14ac:dyDescent="0.35">
      <c r="A175" t="s">
        <v>641</v>
      </c>
      <c r="B175" s="1">
        <v>45419</v>
      </c>
      <c r="C175" s="21">
        <f t="shared" si="29"/>
        <v>5</v>
      </c>
      <c r="D175" s="19">
        <f t="shared" si="36"/>
        <v>45413</v>
      </c>
      <c r="E175" s="21">
        <f t="shared" si="30"/>
        <v>2024</v>
      </c>
      <c r="F175" s="3">
        <f t="shared" si="37"/>
        <v>45413</v>
      </c>
      <c r="G175" t="s">
        <v>635</v>
      </c>
      <c r="H175" t="s">
        <v>643</v>
      </c>
      <c r="I175" t="s">
        <v>788</v>
      </c>
      <c r="J175" t="s">
        <v>926</v>
      </c>
      <c r="K175" t="s">
        <v>47</v>
      </c>
      <c r="L175" t="s">
        <v>94</v>
      </c>
      <c r="M175" t="s">
        <v>19</v>
      </c>
      <c r="N175" t="s">
        <v>135</v>
      </c>
      <c r="O175" s="5">
        <v>6</v>
      </c>
      <c r="P175" s="16">
        <v>1143.4000000000001</v>
      </c>
      <c r="Q175" s="2">
        <v>0.05</v>
      </c>
      <c r="R175" s="16">
        <v>490.48</v>
      </c>
      <c r="S175" t="s">
        <v>1058</v>
      </c>
      <c r="T175" t="s">
        <v>23</v>
      </c>
      <c r="U175" t="str">
        <f t="shared" si="31"/>
        <v>Sale</v>
      </c>
      <c r="V175" t="str">
        <f t="shared" si="32"/>
        <v>OK</v>
      </c>
      <c r="W175" s="16">
        <f t="shared" si="33"/>
        <v>6517.38</v>
      </c>
      <c r="X175" s="16">
        <f t="shared" si="34"/>
        <v>2942.88</v>
      </c>
      <c r="Y175" s="16">
        <f t="shared" si="38"/>
        <v>3574.5</v>
      </c>
      <c r="Z175" s="16">
        <f t="shared" si="35"/>
        <v>0.54845658838367561</v>
      </c>
      <c r="AD175" s="8"/>
    </row>
    <row r="176" spans="1:30" x14ac:dyDescent="0.35">
      <c r="A176" t="s">
        <v>644</v>
      </c>
      <c r="B176" s="1">
        <v>45555</v>
      </c>
      <c r="C176" s="21">
        <f t="shared" si="29"/>
        <v>9</v>
      </c>
      <c r="D176" s="19">
        <f t="shared" si="36"/>
        <v>45536</v>
      </c>
      <c r="E176" s="21">
        <f t="shared" si="30"/>
        <v>2024</v>
      </c>
      <c r="F176" s="3">
        <f t="shared" si="37"/>
        <v>45536</v>
      </c>
      <c r="G176" t="s">
        <v>537</v>
      </c>
      <c r="H176" t="s">
        <v>645</v>
      </c>
      <c r="I176" t="s">
        <v>745</v>
      </c>
      <c r="J176" t="s">
        <v>927</v>
      </c>
      <c r="K176" t="s">
        <v>40</v>
      </c>
      <c r="L176" t="s">
        <v>34</v>
      </c>
      <c r="M176" t="s">
        <v>19</v>
      </c>
      <c r="N176" t="s">
        <v>88</v>
      </c>
      <c r="O176" s="5">
        <v>15</v>
      </c>
      <c r="P176" s="16">
        <v>1425.63</v>
      </c>
      <c r="Q176" s="2">
        <v>0.2</v>
      </c>
      <c r="R176" s="16">
        <v>4.47</v>
      </c>
      <c r="S176" t="s">
        <v>35</v>
      </c>
      <c r="T176" t="s">
        <v>23</v>
      </c>
      <c r="U176" t="str">
        <f t="shared" si="31"/>
        <v>Sale</v>
      </c>
      <c r="V176" t="str">
        <f t="shared" si="32"/>
        <v>OK</v>
      </c>
      <c r="W176" s="16">
        <f t="shared" si="33"/>
        <v>17107.560000000001</v>
      </c>
      <c r="X176" s="16">
        <f t="shared" si="34"/>
        <v>67.05</v>
      </c>
      <c r="Y176" s="16">
        <f t="shared" si="38"/>
        <v>17040.510000000002</v>
      </c>
      <c r="Z176" s="16">
        <f t="shared" si="35"/>
        <v>0.99608068012036788</v>
      </c>
      <c r="AD176" s="8"/>
    </row>
    <row r="177" spans="1:30" x14ac:dyDescent="0.35">
      <c r="A177" t="s">
        <v>646</v>
      </c>
      <c r="B177" s="1">
        <v>45403</v>
      </c>
      <c r="C177" s="21">
        <f t="shared" si="29"/>
        <v>4</v>
      </c>
      <c r="D177" s="19">
        <f t="shared" si="36"/>
        <v>45383</v>
      </c>
      <c r="E177" s="21">
        <f t="shared" si="30"/>
        <v>2024</v>
      </c>
      <c r="F177" s="3">
        <f t="shared" si="37"/>
        <v>45383</v>
      </c>
      <c r="G177" t="s">
        <v>182</v>
      </c>
      <c r="H177" t="s">
        <v>647</v>
      </c>
      <c r="I177" t="s">
        <v>1005</v>
      </c>
      <c r="J177" t="s">
        <v>1052</v>
      </c>
      <c r="K177" t="s">
        <v>47</v>
      </c>
      <c r="L177" t="s">
        <v>103</v>
      </c>
      <c r="M177" t="s">
        <v>28</v>
      </c>
      <c r="N177" t="s">
        <v>63</v>
      </c>
      <c r="O177" s="5">
        <v>8</v>
      </c>
      <c r="P177" s="16">
        <v>1243.3699999999999</v>
      </c>
      <c r="Q177" s="2">
        <v>0.05</v>
      </c>
      <c r="R177" s="16">
        <v>578.78</v>
      </c>
      <c r="S177" t="s">
        <v>49</v>
      </c>
      <c r="T177" t="s">
        <v>56</v>
      </c>
      <c r="U177" t="str">
        <f t="shared" si="31"/>
        <v>Sale</v>
      </c>
      <c r="V177" t="str">
        <f t="shared" si="32"/>
        <v>Check</v>
      </c>
      <c r="W177" s="16">
        <f t="shared" si="33"/>
        <v>9449.6119999999992</v>
      </c>
      <c r="X177" s="16">
        <f t="shared" si="34"/>
        <v>4630.24</v>
      </c>
      <c r="Y177" s="16">
        <f t="shared" si="38"/>
        <v>4819.3719999999994</v>
      </c>
      <c r="Z177" s="16">
        <f t="shared" si="35"/>
        <v>0.5100073950126206</v>
      </c>
      <c r="AD177" s="8"/>
    </row>
    <row r="178" spans="1:30" x14ac:dyDescent="0.35">
      <c r="A178" t="s">
        <v>648</v>
      </c>
      <c r="B178" s="1">
        <v>45767</v>
      </c>
      <c r="C178" s="21">
        <f t="shared" si="29"/>
        <v>4</v>
      </c>
      <c r="D178" s="19">
        <f t="shared" si="36"/>
        <v>45748</v>
      </c>
      <c r="E178" s="21">
        <f t="shared" si="30"/>
        <v>2025</v>
      </c>
      <c r="F178" s="3">
        <f t="shared" si="37"/>
        <v>45748</v>
      </c>
      <c r="G178" t="s">
        <v>226</v>
      </c>
      <c r="H178" t="s">
        <v>650</v>
      </c>
      <c r="I178" t="s">
        <v>897</v>
      </c>
      <c r="J178" t="s">
        <v>928</v>
      </c>
      <c r="K178" t="s">
        <v>18</v>
      </c>
      <c r="L178" t="s">
        <v>103</v>
      </c>
      <c r="M178" t="s">
        <v>19</v>
      </c>
      <c r="N178" t="s">
        <v>20</v>
      </c>
      <c r="O178" s="5">
        <v>1</v>
      </c>
      <c r="P178" s="16">
        <v>644.55999999999995</v>
      </c>
      <c r="Q178" s="2">
        <v>0.2</v>
      </c>
      <c r="R178" s="16">
        <v>909.59</v>
      </c>
      <c r="S178" t="s">
        <v>35</v>
      </c>
      <c r="T178" t="s">
        <v>23</v>
      </c>
      <c r="U178" t="str">
        <f t="shared" si="31"/>
        <v>Sale</v>
      </c>
      <c r="V178" t="str">
        <f t="shared" si="32"/>
        <v>OK</v>
      </c>
      <c r="W178" s="16">
        <f t="shared" si="33"/>
        <v>515.64800000000002</v>
      </c>
      <c r="X178" s="16">
        <f t="shared" si="34"/>
        <v>909.59</v>
      </c>
      <c r="Y178" s="16">
        <f t="shared" si="38"/>
        <v>-393.94200000000001</v>
      </c>
      <c r="Z178" s="16">
        <f t="shared" si="35"/>
        <v>-0.7639746493732158</v>
      </c>
      <c r="AD178" s="8"/>
    </row>
    <row r="179" spans="1:30" x14ac:dyDescent="0.35">
      <c r="A179" t="s">
        <v>651</v>
      </c>
      <c r="B179" s="1">
        <v>45632</v>
      </c>
      <c r="C179" s="21">
        <f t="shared" si="29"/>
        <v>12</v>
      </c>
      <c r="D179" s="19">
        <f t="shared" si="36"/>
        <v>45627</v>
      </c>
      <c r="E179" s="21">
        <f t="shared" si="30"/>
        <v>2024</v>
      </c>
      <c r="F179" s="3">
        <f t="shared" si="37"/>
        <v>45627</v>
      </c>
      <c r="G179" t="s">
        <v>618</v>
      </c>
      <c r="H179" t="s">
        <v>653</v>
      </c>
      <c r="I179" t="s">
        <v>929</v>
      </c>
      <c r="J179" t="s">
        <v>874</v>
      </c>
      <c r="K179" t="s">
        <v>83</v>
      </c>
      <c r="L179" t="s">
        <v>94</v>
      </c>
      <c r="M179" t="s">
        <v>19</v>
      </c>
      <c r="N179" t="s">
        <v>158</v>
      </c>
      <c r="O179" s="5">
        <v>7</v>
      </c>
      <c r="P179" s="16">
        <v>1090.3499999999999</v>
      </c>
      <c r="Q179" s="2">
        <v>0</v>
      </c>
      <c r="R179" s="16">
        <v>430.37</v>
      </c>
      <c r="S179" t="s">
        <v>49</v>
      </c>
      <c r="T179" t="s">
        <v>23</v>
      </c>
      <c r="U179" t="str">
        <f t="shared" si="31"/>
        <v>Sale</v>
      </c>
      <c r="V179" t="str">
        <f t="shared" si="32"/>
        <v>OK</v>
      </c>
      <c r="W179" s="16">
        <f t="shared" si="33"/>
        <v>7632.4499999999989</v>
      </c>
      <c r="X179" s="16">
        <f t="shared" si="34"/>
        <v>3012.59</v>
      </c>
      <c r="Y179" s="16">
        <f t="shared" si="38"/>
        <v>4619.8599999999988</v>
      </c>
      <c r="Z179" s="16">
        <f t="shared" si="35"/>
        <v>0.60529187875452828</v>
      </c>
      <c r="AD179" s="8"/>
    </row>
    <row r="180" spans="1:30" x14ac:dyDescent="0.35">
      <c r="A180" t="s">
        <v>654</v>
      </c>
      <c r="B180" s="1">
        <v>45557</v>
      </c>
      <c r="C180" s="21">
        <f t="shared" si="29"/>
        <v>9</v>
      </c>
      <c r="D180" s="19">
        <f t="shared" si="36"/>
        <v>45536</v>
      </c>
      <c r="E180" s="21">
        <f t="shared" si="30"/>
        <v>2024</v>
      </c>
      <c r="F180" s="3">
        <f t="shared" si="37"/>
        <v>45536</v>
      </c>
      <c r="G180" t="s">
        <v>86</v>
      </c>
      <c r="H180" t="s">
        <v>977</v>
      </c>
      <c r="I180" t="s">
        <v>752</v>
      </c>
      <c r="J180" t="s">
        <v>930</v>
      </c>
      <c r="K180" t="s">
        <v>17</v>
      </c>
      <c r="L180" t="s">
        <v>34</v>
      </c>
      <c r="M180" t="s">
        <v>28</v>
      </c>
      <c r="N180" t="s">
        <v>29</v>
      </c>
      <c r="O180" s="5">
        <v>12</v>
      </c>
      <c r="P180" s="16">
        <v>185.29</v>
      </c>
      <c r="Q180" s="2">
        <v>0.1</v>
      </c>
      <c r="R180" s="16">
        <v>694.64</v>
      </c>
      <c r="S180" t="s">
        <v>49</v>
      </c>
      <c r="T180" t="s">
        <v>23</v>
      </c>
      <c r="U180" t="str">
        <f t="shared" si="31"/>
        <v>Sale</v>
      </c>
      <c r="V180" t="str">
        <f t="shared" si="32"/>
        <v>OK</v>
      </c>
      <c r="W180" s="16">
        <f t="shared" si="33"/>
        <v>2001.1320000000001</v>
      </c>
      <c r="X180" s="16">
        <f t="shared" si="34"/>
        <v>8335.68</v>
      </c>
      <c r="Y180" s="16">
        <f t="shared" si="38"/>
        <v>-6334.5480000000007</v>
      </c>
      <c r="Z180" s="16">
        <f t="shared" si="35"/>
        <v>-3.1654823369972598</v>
      </c>
      <c r="AD180" s="8"/>
    </row>
    <row r="181" spans="1:30" x14ac:dyDescent="0.35">
      <c r="A181" t="s">
        <v>657</v>
      </c>
      <c r="B181" s="1">
        <v>45743</v>
      </c>
      <c r="C181" s="21">
        <f t="shared" si="29"/>
        <v>3</v>
      </c>
      <c r="D181" s="19">
        <f t="shared" si="36"/>
        <v>45717</v>
      </c>
      <c r="E181" s="21">
        <f t="shared" si="30"/>
        <v>2025</v>
      </c>
      <c r="F181" s="3">
        <f t="shared" si="37"/>
        <v>45717</v>
      </c>
      <c r="G181" t="s">
        <v>659</v>
      </c>
      <c r="H181" t="s">
        <v>660</v>
      </c>
      <c r="I181" t="s">
        <v>1006</v>
      </c>
      <c r="J181" t="s">
        <v>1053</v>
      </c>
      <c r="K181" t="s">
        <v>47</v>
      </c>
      <c r="L181" t="s">
        <v>62</v>
      </c>
      <c r="M181" t="s">
        <v>19</v>
      </c>
      <c r="N181" t="s">
        <v>158</v>
      </c>
      <c r="O181" s="5">
        <v>7</v>
      </c>
      <c r="P181" s="16">
        <v>1130.97</v>
      </c>
      <c r="Q181" s="2">
        <v>0.05</v>
      </c>
      <c r="R181" s="16">
        <v>992.95</v>
      </c>
      <c r="S181" t="s">
        <v>22</v>
      </c>
      <c r="T181" t="s">
        <v>56</v>
      </c>
      <c r="U181" t="str">
        <f t="shared" si="31"/>
        <v>Sale</v>
      </c>
      <c r="V181" t="str">
        <f t="shared" si="32"/>
        <v>Check</v>
      </c>
      <c r="W181" s="16">
        <f t="shared" si="33"/>
        <v>7520.9504999999999</v>
      </c>
      <c r="X181" s="16">
        <f t="shared" si="34"/>
        <v>6950.6500000000005</v>
      </c>
      <c r="Y181" s="16">
        <f t="shared" si="38"/>
        <v>570.30049999999937</v>
      </c>
      <c r="Z181" s="16">
        <f t="shared" si="35"/>
        <v>7.5828248038595572E-2</v>
      </c>
      <c r="AD181" s="8"/>
    </row>
    <row r="182" spans="1:30" x14ac:dyDescent="0.35">
      <c r="A182" t="s">
        <v>661</v>
      </c>
      <c r="B182" s="1">
        <v>45613</v>
      </c>
      <c r="C182" s="21">
        <f t="shared" si="29"/>
        <v>11</v>
      </c>
      <c r="D182" s="19">
        <f t="shared" si="36"/>
        <v>45597</v>
      </c>
      <c r="E182" s="21">
        <f t="shared" si="30"/>
        <v>2024</v>
      </c>
      <c r="F182" s="3">
        <f t="shared" si="37"/>
        <v>45597</v>
      </c>
      <c r="G182" t="s">
        <v>204</v>
      </c>
      <c r="H182" t="s">
        <v>663</v>
      </c>
      <c r="I182" t="s">
        <v>842</v>
      </c>
      <c r="J182" t="s">
        <v>931</v>
      </c>
      <c r="K182" t="s">
        <v>768</v>
      </c>
      <c r="L182" t="s">
        <v>94</v>
      </c>
      <c r="M182" t="s">
        <v>19</v>
      </c>
      <c r="N182" t="s">
        <v>135</v>
      </c>
      <c r="O182" s="5">
        <v>10</v>
      </c>
      <c r="P182" s="16">
        <v>1290.6400000000001</v>
      </c>
      <c r="Q182" s="2">
        <v>0</v>
      </c>
      <c r="R182" s="16">
        <v>102.26</v>
      </c>
      <c r="S182" t="s">
        <v>35</v>
      </c>
      <c r="T182" t="s">
        <v>23</v>
      </c>
      <c r="U182" t="str">
        <f t="shared" si="31"/>
        <v>Sale</v>
      </c>
      <c r="V182" t="str">
        <f t="shared" si="32"/>
        <v>OK</v>
      </c>
      <c r="W182" s="16">
        <f t="shared" si="33"/>
        <v>12906.400000000001</v>
      </c>
      <c r="X182" s="16">
        <f t="shared" si="34"/>
        <v>1022.6</v>
      </c>
      <c r="Y182" s="16">
        <f t="shared" si="38"/>
        <v>11883.800000000001</v>
      </c>
      <c r="Z182" s="16">
        <f t="shared" si="35"/>
        <v>0.92076799107419571</v>
      </c>
      <c r="AD182" s="8"/>
    </row>
    <row r="183" spans="1:30" x14ac:dyDescent="0.35">
      <c r="A183" t="s">
        <v>664</v>
      </c>
      <c r="B183" s="1">
        <v>45622</v>
      </c>
      <c r="C183" s="21">
        <f t="shared" si="29"/>
        <v>11</v>
      </c>
      <c r="D183" s="19">
        <f t="shared" si="36"/>
        <v>45597</v>
      </c>
      <c r="E183" s="21">
        <f t="shared" si="30"/>
        <v>2024</v>
      </c>
      <c r="F183" s="3">
        <f t="shared" si="37"/>
        <v>45597</v>
      </c>
      <c r="G183" t="s">
        <v>142</v>
      </c>
      <c r="H183" t="s">
        <v>666</v>
      </c>
      <c r="I183" t="s">
        <v>743</v>
      </c>
      <c r="J183" t="s">
        <v>1054</v>
      </c>
      <c r="K183" t="s">
        <v>83</v>
      </c>
      <c r="L183" t="s">
        <v>62</v>
      </c>
      <c r="M183" t="s">
        <v>19</v>
      </c>
      <c r="N183" t="s">
        <v>158</v>
      </c>
      <c r="O183" s="5">
        <v>9</v>
      </c>
      <c r="P183" s="16">
        <v>1083.1600000000001</v>
      </c>
      <c r="Q183" s="2">
        <v>0</v>
      </c>
      <c r="R183" s="16">
        <v>941.4</v>
      </c>
      <c r="S183" t="s">
        <v>22</v>
      </c>
      <c r="T183" t="s">
        <v>56</v>
      </c>
      <c r="U183" t="str">
        <f t="shared" si="31"/>
        <v>Sale</v>
      </c>
      <c r="V183" t="str">
        <f t="shared" si="32"/>
        <v>Check</v>
      </c>
      <c r="W183" s="16">
        <f t="shared" si="33"/>
        <v>9748.44</v>
      </c>
      <c r="X183" s="16">
        <f t="shared" si="34"/>
        <v>8472.6</v>
      </c>
      <c r="Y183" s="16">
        <f t="shared" si="38"/>
        <v>1275.8400000000001</v>
      </c>
      <c r="Z183" s="16">
        <f t="shared" si="35"/>
        <v>0.130876324827357</v>
      </c>
      <c r="AD183" s="8"/>
    </row>
    <row r="184" spans="1:30" x14ac:dyDescent="0.35">
      <c r="A184" t="s">
        <v>667</v>
      </c>
      <c r="B184" s="1">
        <v>45779</v>
      </c>
      <c r="C184" s="21">
        <f t="shared" si="29"/>
        <v>5</v>
      </c>
      <c r="D184" s="19">
        <f t="shared" si="36"/>
        <v>45778</v>
      </c>
      <c r="E184" s="21">
        <f t="shared" si="30"/>
        <v>2025</v>
      </c>
      <c r="F184" s="3">
        <f t="shared" si="37"/>
        <v>45778</v>
      </c>
      <c r="G184" t="s">
        <v>353</v>
      </c>
      <c r="H184" t="s">
        <v>669</v>
      </c>
      <c r="I184" t="s">
        <v>917</v>
      </c>
      <c r="J184" t="s">
        <v>932</v>
      </c>
      <c r="K184" t="s">
        <v>40</v>
      </c>
      <c r="L184" t="s">
        <v>94</v>
      </c>
      <c r="M184" t="s">
        <v>19</v>
      </c>
      <c r="N184" t="s">
        <v>20</v>
      </c>
      <c r="O184" s="5">
        <v>8</v>
      </c>
      <c r="P184" s="16">
        <v>365.42</v>
      </c>
      <c r="Q184" s="2">
        <v>0</v>
      </c>
      <c r="R184" s="16">
        <v>72.87</v>
      </c>
      <c r="S184" t="s">
        <v>1058</v>
      </c>
      <c r="T184" t="s">
        <v>23</v>
      </c>
      <c r="U184" t="str">
        <f t="shared" si="31"/>
        <v>Sale</v>
      </c>
      <c r="V184" t="str">
        <f t="shared" si="32"/>
        <v>OK</v>
      </c>
      <c r="W184" s="16">
        <f t="shared" si="33"/>
        <v>2923.36</v>
      </c>
      <c r="X184" s="16">
        <f t="shared" si="34"/>
        <v>582.96</v>
      </c>
      <c r="Y184" s="16">
        <f t="shared" si="38"/>
        <v>2340.4</v>
      </c>
      <c r="Z184" s="16">
        <f t="shared" si="35"/>
        <v>0.80058562749712658</v>
      </c>
      <c r="AD184" s="8"/>
    </row>
    <row r="185" spans="1:30" x14ac:dyDescent="0.35">
      <c r="A185" t="s">
        <v>670</v>
      </c>
      <c r="B185" s="1">
        <v>45380</v>
      </c>
      <c r="C185" s="21">
        <f t="shared" si="29"/>
        <v>3</v>
      </c>
      <c r="D185" s="19">
        <f t="shared" si="36"/>
        <v>45352</v>
      </c>
      <c r="E185" s="21">
        <f t="shared" si="30"/>
        <v>2024</v>
      </c>
      <c r="F185" s="3">
        <f t="shared" si="37"/>
        <v>45352</v>
      </c>
      <c r="G185" t="s">
        <v>196</v>
      </c>
      <c r="H185" t="s">
        <v>672</v>
      </c>
      <c r="I185" t="s">
        <v>752</v>
      </c>
      <c r="J185" t="s">
        <v>933</v>
      </c>
      <c r="K185" t="s">
        <v>47</v>
      </c>
      <c r="L185" t="s">
        <v>94</v>
      </c>
      <c r="M185" t="s">
        <v>28</v>
      </c>
      <c r="N185" t="s">
        <v>153</v>
      </c>
      <c r="O185" s="5">
        <v>13</v>
      </c>
      <c r="P185" s="16">
        <v>0</v>
      </c>
      <c r="Q185" s="2">
        <v>0</v>
      </c>
      <c r="R185" s="16">
        <v>217.31</v>
      </c>
      <c r="S185" t="s">
        <v>1058</v>
      </c>
      <c r="T185" t="s">
        <v>23</v>
      </c>
      <c r="U185" t="str">
        <f t="shared" si="31"/>
        <v>Sale</v>
      </c>
      <c r="V185" t="str">
        <f t="shared" si="32"/>
        <v>OK</v>
      </c>
      <c r="W185" s="16">
        <f t="shared" si="33"/>
        <v>0</v>
      </c>
      <c r="X185" s="16">
        <f t="shared" si="34"/>
        <v>2825.03</v>
      </c>
      <c r="Y185" s="16">
        <f t="shared" si="38"/>
        <v>-2825.03</v>
      </c>
      <c r="Z185" s="16" t="str">
        <f t="shared" si="35"/>
        <v xml:space="preserve"> </v>
      </c>
      <c r="AD185" s="8"/>
    </row>
    <row r="186" spans="1:30" x14ac:dyDescent="0.35">
      <c r="A186" t="s">
        <v>673</v>
      </c>
      <c r="B186" s="1">
        <v>45607</v>
      </c>
      <c r="C186" s="21">
        <f t="shared" si="29"/>
        <v>11</v>
      </c>
      <c r="D186" s="19">
        <f t="shared" si="36"/>
        <v>45597</v>
      </c>
      <c r="E186" s="21">
        <f t="shared" si="30"/>
        <v>2024</v>
      </c>
      <c r="F186" s="3">
        <f t="shared" si="37"/>
        <v>45597</v>
      </c>
      <c r="G186" t="s">
        <v>287</v>
      </c>
      <c r="H186" t="s">
        <v>675</v>
      </c>
      <c r="I186" t="s">
        <v>810</v>
      </c>
      <c r="J186" t="s">
        <v>934</v>
      </c>
      <c r="K186" t="s">
        <v>17</v>
      </c>
      <c r="L186" t="s">
        <v>41</v>
      </c>
      <c r="M186" t="s">
        <v>28</v>
      </c>
      <c r="N186" t="s">
        <v>153</v>
      </c>
      <c r="O186" s="5">
        <v>2</v>
      </c>
      <c r="P186" s="16">
        <v>769.4</v>
      </c>
      <c r="Q186" s="2">
        <v>0.05</v>
      </c>
      <c r="R186" s="16">
        <v>808.44</v>
      </c>
      <c r="S186" t="s">
        <v>1058</v>
      </c>
      <c r="T186" t="s">
        <v>23</v>
      </c>
      <c r="U186" t="str">
        <f t="shared" si="31"/>
        <v>Sale</v>
      </c>
      <c r="V186" t="str">
        <f t="shared" si="32"/>
        <v>OK</v>
      </c>
      <c r="W186" s="16">
        <f t="shared" si="33"/>
        <v>1461.86</v>
      </c>
      <c r="X186" s="16">
        <f t="shared" si="34"/>
        <v>1616.88</v>
      </c>
      <c r="Y186" s="16">
        <f t="shared" si="38"/>
        <v>-155.02000000000021</v>
      </c>
      <c r="Z186" s="16">
        <f t="shared" si="35"/>
        <v>-0.10604298633248069</v>
      </c>
      <c r="AD186" s="8"/>
    </row>
    <row r="187" spans="1:30" x14ac:dyDescent="0.35">
      <c r="A187" t="s">
        <v>676</v>
      </c>
      <c r="B187" s="1">
        <v>45336</v>
      </c>
      <c r="C187" s="21">
        <f t="shared" si="29"/>
        <v>2</v>
      </c>
      <c r="D187" s="19">
        <f t="shared" si="36"/>
        <v>45323</v>
      </c>
      <c r="E187" s="21">
        <f t="shared" si="30"/>
        <v>2024</v>
      </c>
      <c r="F187" s="3">
        <f t="shared" si="37"/>
        <v>45323</v>
      </c>
      <c r="G187" t="s">
        <v>314</v>
      </c>
      <c r="H187" t="s">
        <v>677</v>
      </c>
      <c r="I187" t="s">
        <v>935</v>
      </c>
      <c r="J187" t="s">
        <v>794</v>
      </c>
      <c r="K187" t="s">
        <v>47</v>
      </c>
      <c r="L187" t="s">
        <v>18</v>
      </c>
      <c r="M187" t="s">
        <v>19</v>
      </c>
      <c r="N187" t="s">
        <v>135</v>
      </c>
      <c r="O187" s="5">
        <v>10</v>
      </c>
      <c r="P187" s="16">
        <v>467.39</v>
      </c>
      <c r="Q187" s="2">
        <v>0</v>
      </c>
      <c r="R187" s="16">
        <v>741.18</v>
      </c>
      <c r="S187" t="s">
        <v>1058</v>
      </c>
      <c r="T187" t="s">
        <v>23</v>
      </c>
      <c r="U187" t="str">
        <f t="shared" si="31"/>
        <v>Sale</v>
      </c>
      <c r="V187" t="str">
        <f t="shared" si="32"/>
        <v>OK</v>
      </c>
      <c r="W187" s="16">
        <f t="shared" si="33"/>
        <v>4673.8999999999996</v>
      </c>
      <c r="X187" s="16">
        <f t="shared" si="34"/>
        <v>7411.7999999999993</v>
      </c>
      <c r="Y187" s="16">
        <f t="shared" si="38"/>
        <v>-2737.8999999999996</v>
      </c>
      <c r="Z187" s="16">
        <f t="shared" si="35"/>
        <v>-0.58578489056248528</v>
      </c>
      <c r="AD187" s="8"/>
    </row>
    <row r="188" spans="1:30" x14ac:dyDescent="0.35">
      <c r="A188" t="s">
        <v>678</v>
      </c>
      <c r="B188" s="1">
        <v>45692</v>
      </c>
      <c r="C188" s="21">
        <f t="shared" si="29"/>
        <v>2</v>
      </c>
      <c r="D188" s="19">
        <f t="shared" si="36"/>
        <v>45689</v>
      </c>
      <c r="E188" s="21">
        <f t="shared" si="30"/>
        <v>2025</v>
      </c>
      <c r="F188" s="3">
        <f t="shared" si="37"/>
        <v>45689</v>
      </c>
      <c r="G188" t="s">
        <v>680</v>
      </c>
      <c r="H188" t="s">
        <v>681</v>
      </c>
      <c r="I188" t="s">
        <v>908</v>
      </c>
      <c r="J188" t="s">
        <v>936</v>
      </c>
      <c r="K188" t="s">
        <v>18</v>
      </c>
      <c r="L188" t="s">
        <v>62</v>
      </c>
      <c r="M188" t="s">
        <v>28</v>
      </c>
      <c r="N188" t="s">
        <v>153</v>
      </c>
      <c r="O188" s="5">
        <v>6</v>
      </c>
      <c r="P188" s="16">
        <v>1172.78</v>
      </c>
      <c r="Q188" s="2">
        <v>0</v>
      </c>
      <c r="R188" s="16">
        <v>886.64</v>
      </c>
      <c r="S188" t="s">
        <v>49</v>
      </c>
      <c r="T188" t="s">
        <v>23</v>
      </c>
      <c r="U188" t="str">
        <f t="shared" si="31"/>
        <v>Sale</v>
      </c>
      <c r="V188" t="str">
        <f t="shared" si="32"/>
        <v>OK</v>
      </c>
      <c r="W188" s="16">
        <f t="shared" si="33"/>
        <v>7036.68</v>
      </c>
      <c r="X188" s="16">
        <f t="shared" si="34"/>
        <v>5319.84</v>
      </c>
      <c r="Y188" s="16">
        <f t="shared" si="38"/>
        <v>1716.8400000000001</v>
      </c>
      <c r="Z188" s="16">
        <f t="shared" si="35"/>
        <v>0.24398437899691333</v>
      </c>
      <c r="AD188" s="8"/>
    </row>
    <row r="189" spans="1:30" x14ac:dyDescent="0.35">
      <c r="A189" t="s">
        <v>682</v>
      </c>
      <c r="B189" s="1">
        <v>45537</v>
      </c>
      <c r="C189" s="21">
        <f t="shared" si="29"/>
        <v>9</v>
      </c>
      <c r="D189" s="19">
        <f t="shared" si="36"/>
        <v>45536</v>
      </c>
      <c r="E189" s="21">
        <f t="shared" si="30"/>
        <v>2024</v>
      </c>
      <c r="F189" s="3">
        <f t="shared" si="37"/>
        <v>45536</v>
      </c>
      <c r="G189" t="s">
        <v>684</v>
      </c>
      <c r="H189" t="s">
        <v>685</v>
      </c>
      <c r="I189" t="s">
        <v>917</v>
      </c>
      <c r="J189" t="s">
        <v>937</v>
      </c>
      <c r="K189" t="s">
        <v>17</v>
      </c>
      <c r="L189" t="s">
        <v>18</v>
      </c>
      <c r="M189" t="s">
        <v>28</v>
      </c>
      <c r="N189" t="s">
        <v>153</v>
      </c>
      <c r="O189" s="5">
        <v>1</v>
      </c>
      <c r="P189" s="16">
        <v>852.49</v>
      </c>
      <c r="Q189" s="2">
        <v>0</v>
      </c>
      <c r="R189" s="16">
        <v>256.61</v>
      </c>
      <c r="S189" t="s">
        <v>49</v>
      </c>
      <c r="T189" t="s">
        <v>23</v>
      </c>
      <c r="U189" t="str">
        <f t="shared" si="31"/>
        <v>Sale</v>
      </c>
      <c r="V189" t="str">
        <f t="shared" si="32"/>
        <v>OK</v>
      </c>
      <c r="W189" s="16">
        <f t="shared" si="33"/>
        <v>852.49</v>
      </c>
      <c r="X189" s="16">
        <f t="shared" si="34"/>
        <v>256.61</v>
      </c>
      <c r="Y189" s="16">
        <f t="shared" si="38"/>
        <v>595.88</v>
      </c>
      <c r="Z189" s="16">
        <f t="shared" si="35"/>
        <v>0.69898767140963525</v>
      </c>
      <c r="AD189" s="8"/>
    </row>
    <row r="190" spans="1:30" x14ac:dyDescent="0.35">
      <c r="A190" t="s">
        <v>686</v>
      </c>
      <c r="B190" s="1">
        <v>45315</v>
      </c>
      <c r="C190" s="21">
        <f t="shared" si="29"/>
        <v>1</v>
      </c>
      <c r="D190" s="19">
        <f t="shared" si="36"/>
        <v>45292</v>
      </c>
      <c r="E190" s="21">
        <f t="shared" si="30"/>
        <v>2024</v>
      </c>
      <c r="F190" s="3">
        <f t="shared" si="37"/>
        <v>45292</v>
      </c>
      <c r="G190" t="s">
        <v>138</v>
      </c>
      <c r="H190" t="s">
        <v>688</v>
      </c>
      <c r="I190" t="s">
        <v>808</v>
      </c>
      <c r="J190" t="s">
        <v>1055</v>
      </c>
      <c r="K190" t="s">
        <v>83</v>
      </c>
      <c r="L190" t="s">
        <v>41</v>
      </c>
      <c r="M190" t="s">
        <v>19</v>
      </c>
      <c r="N190" t="s">
        <v>135</v>
      </c>
      <c r="O190" s="5">
        <v>3</v>
      </c>
      <c r="P190" s="16">
        <v>0</v>
      </c>
      <c r="Q190" s="2">
        <v>0.2</v>
      </c>
      <c r="R190" s="16">
        <v>803.51</v>
      </c>
      <c r="S190" t="s">
        <v>22</v>
      </c>
      <c r="T190" t="s">
        <v>56</v>
      </c>
      <c r="U190" t="str">
        <f t="shared" si="31"/>
        <v>Sale</v>
      </c>
      <c r="V190" t="str">
        <f t="shared" si="32"/>
        <v>Check</v>
      </c>
      <c r="W190" s="16">
        <f t="shared" si="33"/>
        <v>0</v>
      </c>
      <c r="X190" s="16">
        <f t="shared" si="34"/>
        <v>2410.5299999999997</v>
      </c>
      <c r="Y190" s="16">
        <f t="shared" si="38"/>
        <v>-2410.5299999999997</v>
      </c>
      <c r="Z190" s="16" t="str">
        <f t="shared" si="35"/>
        <v xml:space="preserve"> </v>
      </c>
      <c r="AD190" s="8"/>
    </row>
    <row r="191" spans="1:30" x14ac:dyDescent="0.35">
      <c r="A191" t="s">
        <v>689</v>
      </c>
      <c r="B191" s="1">
        <v>45714</v>
      </c>
      <c r="C191" s="21">
        <f t="shared" si="29"/>
        <v>2</v>
      </c>
      <c r="D191" s="19">
        <f t="shared" si="36"/>
        <v>45689</v>
      </c>
      <c r="E191" s="21">
        <f t="shared" si="30"/>
        <v>2025</v>
      </c>
      <c r="F191" s="3">
        <f t="shared" si="37"/>
        <v>45689</v>
      </c>
      <c r="G191" t="s">
        <v>298</v>
      </c>
      <c r="H191" t="s">
        <v>691</v>
      </c>
      <c r="I191" t="s">
        <v>750</v>
      </c>
      <c r="J191" t="s">
        <v>938</v>
      </c>
      <c r="K191" t="s">
        <v>17</v>
      </c>
      <c r="L191" t="s">
        <v>94</v>
      </c>
      <c r="M191" t="s">
        <v>19</v>
      </c>
      <c r="N191" t="s">
        <v>158</v>
      </c>
      <c r="O191" s="5">
        <v>6</v>
      </c>
      <c r="P191" s="16">
        <v>1011.62</v>
      </c>
      <c r="Q191" s="2">
        <v>0.05</v>
      </c>
      <c r="R191" s="16">
        <v>224.74</v>
      </c>
      <c r="S191" t="s">
        <v>35</v>
      </c>
      <c r="T191" t="s">
        <v>23</v>
      </c>
      <c r="U191" t="str">
        <f t="shared" si="31"/>
        <v>Sale</v>
      </c>
      <c r="V191" t="str">
        <f t="shared" si="32"/>
        <v>OK</v>
      </c>
      <c r="W191" s="16">
        <f t="shared" si="33"/>
        <v>5766.2340000000004</v>
      </c>
      <c r="X191" s="16">
        <f t="shared" si="34"/>
        <v>1348.44</v>
      </c>
      <c r="Y191" s="16">
        <f t="shared" si="38"/>
        <v>4417.7939999999999</v>
      </c>
      <c r="Z191" s="16">
        <f t="shared" si="35"/>
        <v>0.76614892839936766</v>
      </c>
      <c r="AD191" s="8"/>
    </row>
    <row r="192" spans="1:30" x14ac:dyDescent="0.35">
      <c r="A192" t="s">
        <v>692</v>
      </c>
      <c r="B192" s="1">
        <v>45575</v>
      </c>
      <c r="C192" s="21">
        <f t="shared" si="29"/>
        <v>10</v>
      </c>
      <c r="D192" s="19">
        <f t="shared" si="36"/>
        <v>45566</v>
      </c>
      <c r="E192" s="21">
        <f t="shared" si="30"/>
        <v>2024</v>
      </c>
      <c r="F192" s="3">
        <f t="shared" si="37"/>
        <v>45566</v>
      </c>
      <c r="G192" t="s">
        <v>263</v>
      </c>
      <c r="H192" t="s">
        <v>694</v>
      </c>
      <c r="I192" t="s">
        <v>780</v>
      </c>
      <c r="J192" t="s">
        <v>939</v>
      </c>
      <c r="K192" t="s">
        <v>83</v>
      </c>
      <c r="L192" t="s">
        <v>34</v>
      </c>
      <c r="M192" t="s">
        <v>19</v>
      </c>
      <c r="N192" t="s">
        <v>20</v>
      </c>
      <c r="O192" s="5">
        <v>5</v>
      </c>
      <c r="P192" s="16">
        <v>459.34</v>
      </c>
      <c r="Q192" s="2">
        <v>0.05</v>
      </c>
      <c r="R192" s="16">
        <v>465</v>
      </c>
      <c r="S192" t="s">
        <v>22</v>
      </c>
      <c r="T192" t="s">
        <v>23</v>
      </c>
      <c r="U192" t="str">
        <f t="shared" si="31"/>
        <v>Sale</v>
      </c>
      <c r="V192" t="str">
        <f t="shared" si="32"/>
        <v>OK</v>
      </c>
      <c r="W192" s="16">
        <f t="shared" si="33"/>
        <v>2181.8649999999998</v>
      </c>
      <c r="X192" s="16">
        <f t="shared" si="34"/>
        <v>2325</v>
      </c>
      <c r="Y192" s="16">
        <f t="shared" si="38"/>
        <v>-143.13500000000022</v>
      </c>
      <c r="Z192" s="16">
        <f t="shared" si="35"/>
        <v>-6.560213395420901E-2</v>
      </c>
      <c r="AD192" s="8"/>
    </row>
    <row r="193" spans="1:30" x14ac:dyDescent="0.35">
      <c r="A193" t="s">
        <v>695</v>
      </c>
      <c r="B193" s="1">
        <v>45304</v>
      </c>
      <c r="C193" s="21">
        <f t="shared" si="29"/>
        <v>1</v>
      </c>
      <c r="D193" s="19">
        <f t="shared" si="36"/>
        <v>45292</v>
      </c>
      <c r="E193" s="21">
        <f t="shared" si="30"/>
        <v>2024</v>
      </c>
      <c r="F193" s="3">
        <f t="shared" si="37"/>
        <v>45292</v>
      </c>
      <c r="G193" t="s">
        <v>32</v>
      </c>
      <c r="H193" t="s">
        <v>697</v>
      </c>
      <c r="I193" t="s">
        <v>940</v>
      </c>
      <c r="J193" t="s">
        <v>941</v>
      </c>
      <c r="K193" t="s">
        <v>18</v>
      </c>
      <c r="L193" t="s">
        <v>103</v>
      </c>
      <c r="M193" t="s">
        <v>19</v>
      </c>
      <c r="N193" t="s">
        <v>88</v>
      </c>
      <c r="O193" s="5">
        <v>6</v>
      </c>
      <c r="P193" s="16">
        <v>0</v>
      </c>
      <c r="Q193" s="2">
        <v>0.2</v>
      </c>
      <c r="R193" s="16">
        <v>336.35</v>
      </c>
      <c r="S193" t="s">
        <v>22</v>
      </c>
      <c r="T193" t="s">
        <v>23</v>
      </c>
      <c r="U193" t="str">
        <f t="shared" si="31"/>
        <v>Sale</v>
      </c>
      <c r="V193" t="str">
        <f t="shared" si="32"/>
        <v>OK</v>
      </c>
      <c r="W193" s="16">
        <f t="shared" si="33"/>
        <v>0</v>
      </c>
      <c r="X193" s="16">
        <f t="shared" si="34"/>
        <v>2018.1000000000001</v>
      </c>
      <c r="Y193" s="16">
        <f t="shared" si="38"/>
        <v>-2018.1000000000001</v>
      </c>
      <c r="Z193" s="16" t="str">
        <f t="shared" si="35"/>
        <v xml:space="preserve"> </v>
      </c>
      <c r="AD193" s="8"/>
    </row>
    <row r="194" spans="1:30" x14ac:dyDescent="0.35">
      <c r="A194" t="s">
        <v>698</v>
      </c>
      <c r="B194" s="1">
        <v>45784</v>
      </c>
      <c r="C194" s="21">
        <f t="shared" si="29"/>
        <v>5</v>
      </c>
      <c r="D194" s="19">
        <f t="shared" ref="D194:D201" si="39">DATE(YEAR(B194),MONTH(B194),DAY(1))</f>
        <v>45778</v>
      </c>
      <c r="E194" s="21">
        <f t="shared" si="30"/>
        <v>2025</v>
      </c>
      <c r="F194" s="3">
        <f t="shared" ref="F194:F201" si="40">DATE(YEAR(B194),MONTH(B194),DAY(1))</f>
        <v>45778</v>
      </c>
      <c r="G194" t="s">
        <v>242</v>
      </c>
      <c r="H194" t="s">
        <v>700</v>
      </c>
      <c r="I194" t="s">
        <v>915</v>
      </c>
      <c r="J194" t="s">
        <v>942</v>
      </c>
      <c r="K194" t="s">
        <v>768</v>
      </c>
      <c r="L194" t="s">
        <v>94</v>
      </c>
      <c r="M194" t="s">
        <v>54</v>
      </c>
      <c r="N194" t="s">
        <v>55</v>
      </c>
      <c r="O194" s="5">
        <v>3</v>
      </c>
      <c r="P194" s="16">
        <v>144.07</v>
      </c>
      <c r="Q194" s="2">
        <v>0.05</v>
      </c>
      <c r="R194" s="16">
        <v>897.49</v>
      </c>
      <c r="S194" t="s">
        <v>49</v>
      </c>
      <c r="T194" t="s">
        <v>23</v>
      </c>
      <c r="U194" t="str">
        <f t="shared" si="31"/>
        <v>Sale</v>
      </c>
      <c r="V194" t="str">
        <f t="shared" si="32"/>
        <v>OK</v>
      </c>
      <c r="W194" s="16">
        <f t="shared" si="33"/>
        <v>410.59949999999998</v>
      </c>
      <c r="X194" s="16">
        <f t="shared" si="34"/>
        <v>2692.4700000000003</v>
      </c>
      <c r="Y194" s="16">
        <f t="shared" ref="Y194:Y201" si="41">W194-X194</f>
        <v>-2281.8705000000004</v>
      </c>
      <c r="Z194" s="16">
        <f t="shared" si="35"/>
        <v>-5.5574117844761153</v>
      </c>
      <c r="AD194" s="8"/>
    </row>
    <row r="195" spans="1:30" x14ac:dyDescent="0.35">
      <c r="A195" t="s">
        <v>701</v>
      </c>
      <c r="B195" s="1">
        <v>45618</v>
      </c>
      <c r="C195" s="21">
        <f t="shared" ref="C195:C201" si="42">MONTH(B195)</f>
        <v>11</v>
      </c>
      <c r="D195" s="19">
        <f t="shared" si="39"/>
        <v>45597</v>
      </c>
      <c r="E195" s="21">
        <f t="shared" ref="E195:E201" si="43">YEAR(B195)</f>
        <v>2024</v>
      </c>
      <c r="F195" s="3">
        <f t="shared" si="40"/>
        <v>45597</v>
      </c>
      <c r="G195" t="s">
        <v>196</v>
      </c>
      <c r="H195" t="s">
        <v>703</v>
      </c>
      <c r="I195" t="s">
        <v>943</v>
      </c>
      <c r="J195" t="s">
        <v>762</v>
      </c>
      <c r="K195" t="s">
        <v>768</v>
      </c>
      <c r="L195" t="s">
        <v>41</v>
      </c>
      <c r="M195" t="s">
        <v>28</v>
      </c>
      <c r="N195" t="s">
        <v>29</v>
      </c>
      <c r="O195" s="5">
        <v>10</v>
      </c>
      <c r="P195" s="16">
        <v>995.35</v>
      </c>
      <c r="Q195" s="2">
        <v>0.1</v>
      </c>
      <c r="R195" s="16">
        <v>293.08999999999997</v>
      </c>
      <c r="S195" t="s">
        <v>1058</v>
      </c>
      <c r="T195" t="s">
        <v>23</v>
      </c>
      <c r="U195" t="str">
        <f t="shared" ref="U195:U201" si="44">IF(O195&lt;0,"Return","Sale")</f>
        <v>Sale</v>
      </c>
      <c r="V195" t="str">
        <f t="shared" ref="V195:V201" si="45">IF(AND(T195="Cancelled",U195="Sale"),"Check","OK")</f>
        <v>OK</v>
      </c>
      <c r="W195" s="16">
        <f t="shared" ref="W195:W201" si="46">(P195 * O195) * (1 - Q195)</f>
        <v>8958.15</v>
      </c>
      <c r="X195" s="16">
        <f t="shared" ref="X195:X201" si="47">R195*O195</f>
        <v>2930.8999999999996</v>
      </c>
      <c r="Y195" s="16">
        <f t="shared" si="41"/>
        <v>6027.25</v>
      </c>
      <c r="Z195" s="16">
        <f t="shared" ref="Z195:Z201" si="48">IFERROR(Y195/W195, " ")</f>
        <v>0.67282307172797962</v>
      </c>
      <c r="AD195" s="8"/>
    </row>
    <row r="196" spans="1:30" x14ac:dyDescent="0.35">
      <c r="A196" t="s">
        <v>704</v>
      </c>
      <c r="B196" s="1">
        <v>45775</v>
      </c>
      <c r="C196" s="21">
        <f t="shared" si="42"/>
        <v>4</v>
      </c>
      <c r="D196" s="19">
        <f t="shared" si="39"/>
        <v>45748</v>
      </c>
      <c r="E196" s="21">
        <f t="shared" si="43"/>
        <v>2025</v>
      </c>
      <c r="F196" s="3">
        <f t="shared" si="40"/>
        <v>45748</v>
      </c>
      <c r="G196" t="s">
        <v>242</v>
      </c>
      <c r="H196" t="s">
        <v>706</v>
      </c>
      <c r="I196" t="s">
        <v>886</v>
      </c>
      <c r="J196" t="s">
        <v>944</v>
      </c>
      <c r="K196" t="s">
        <v>768</v>
      </c>
      <c r="L196" t="s">
        <v>18</v>
      </c>
      <c r="M196" t="s">
        <v>19</v>
      </c>
      <c r="N196" t="s">
        <v>20</v>
      </c>
      <c r="O196" s="5">
        <v>13</v>
      </c>
      <c r="P196" s="16">
        <v>167.91</v>
      </c>
      <c r="Q196" s="2">
        <v>0.1</v>
      </c>
      <c r="R196" s="16">
        <v>450.67</v>
      </c>
      <c r="S196" t="s">
        <v>1058</v>
      </c>
      <c r="T196" t="s">
        <v>23</v>
      </c>
      <c r="U196" t="str">
        <f t="shared" si="44"/>
        <v>Sale</v>
      </c>
      <c r="V196" t="str">
        <f t="shared" si="45"/>
        <v>OK</v>
      </c>
      <c r="W196" s="16">
        <f t="shared" si="46"/>
        <v>1964.547</v>
      </c>
      <c r="X196" s="16">
        <f t="shared" si="47"/>
        <v>5858.71</v>
      </c>
      <c r="Y196" s="16">
        <f t="shared" si="41"/>
        <v>-3894.163</v>
      </c>
      <c r="Z196" s="16">
        <f t="shared" si="48"/>
        <v>-1.9822193106095196</v>
      </c>
      <c r="AD196" s="8"/>
    </row>
    <row r="197" spans="1:30" x14ac:dyDescent="0.35">
      <c r="A197" t="s">
        <v>707</v>
      </c>
      <c r="B197" s="1">
        <v>45728</v>
      </c>
      <c r="C197" s="21">
        <f t="shared" si="42"/>
        <v>3</v>
      </c>
      <c r="D197" s="19">
        <f t="shared" si="39"/>
        <v>45717</v>
      </c>
      <c r="E197" s="21">
        <f t="shared" si="43"/>
        <v>2025</v>
      </c>
      <c r="F197" s="3">
        <f t="shared" si="40"/>
        <v>45717</v>
      </c>
      <c r="G197" t="s">
        <v>287</v>
      </c>
      <c r="H197" t="s">
        <v>709</v>
      </c>
      <c r="I197" t="s">
        <v>945</v>
      </c>
      <c r="J197" t="s">
        <v>946</v>
      </c>
      <c r="K197" t="s">
        <v>83</v>
      </c>
      <c r="L197" t="s">
        <v>41</v>
      </c>
      <c r="M197" t="s">
        <v>54</v>
      </c>
      <c r="N197" t="s">
        <v>55</v>
      </c>
      <c r="O197" s="5">
        <v>3</v>
      </c>
      <c r="P197" s="16">
        <v>459.8</v>
      </c>
      <c r="Q197" s="2">
        <v>0.05</v>
      </c>
      <c r="R197" s="16">
        <v>604.1</v>
      </c>
      <c r="S197" t="s">
        <v>1058</v>
      </c>
      <c r="T197" t="s">
        <v>23</v>
      </c>
      <c r="U197" t="str">
        <f t="shared" si="44"/>
        <v>Sale</v>
      </c>
      <c r="V197" t="str">
        <f t="shared" si="45"/>
        <v>OK</v>
      </c>
      <c r="W197" s="16">
        <f t="shared" si="46"/>
        <v>1310.43</v>
      </c>
      <c r="X197" s="16">
        <f t="shared" si="47"/>
        <v>1812.3000000000002</v>
      </c>
      <c r="Y197" s="16">
        <f t="shared" si="41"/>
        <v>-501.87000000000012</v>
      </c>
      <c r="Z197" s="16">
        <f t="shared" si="48"/>
        <v>-0.38298115885625339</v>
      </c>
      <c r="AD197" s="8"/>
    </row>
    <row r="198" spans="1:30" x14ac:dyDescent="0.35">
      <c r="A198" t="s">
        <v>710</v>
      </c>
      <c r="B198" s="1">
        <v>45711</v>
      </c>
      <c r="C198" s="21">
        <f t="shared" si="42"/>
        <v>2</v>
      </c>
      <c r="D198" s="19">
        <f t="shared" si="39"/>
        <v>45689</v>
      </c>
      <c r="E198" s="21">
        <f t="shared" si="43"/>
        <v>2025</v>
      </c>
      <c r="F198" s="3">
        <f t="shared" si="40"/>
        <v>45689</v>
      </c>
      <c r="G198" t="s">
        <v>589</v>
      </c>
      <c r="H198" t="s">
        <v>712</v>
      </c>
      <c r="I198" t="s">
        <v>929</v>
      </c>
      <c r="J198" t="s">
        <v>947</v>
      </c>
      <c r="K198" t="s">
        <v>47</v>
      </c>
      <c r="L198" t="s">
        <v>18</v>
      </c>
      <c r="M198" t="s">
        <v>19</v>
      </c>
      <c r="N198" t="s">
        <v>158</v>
      </c>
      <c r="O198" s="5">
        <v>7</v>
      </c>
      <c r="P198" s="16">
        <v>836.15</v>
      </c>
      <c r="Q198" s="2">
        <v>0</v>
      </c>
      <c r="R198" s="16">
        <v>96.54</v>
      </c>
      <c r="S198" t="s">
        <v>22</v>
      </c>
      <c r="T198" t="s">
        <v>23</v>
      </c>
      <c r="U198" t="str">
        <f t="shared" si="44"/>
        <v>Sale</v>
      </c>
      <c r="V198" t="str">
        <f t="shared" si="45"/>
        <v>OK</v>
      </c>
      <c r="W198" s="16">
        <f t="shared" si="46"/>
        <v>5853.05</v>
      </c>
      <c r="X198" s="16">
        <f t="shared" si="47"/>
        <v>675.78000000000009</v>
      </c>
      <c r="Y198" s="16">
        <f t="shared" si="41"/>
        <v>5177.2700000000004</v>
      </c>
      <c r="Z198" s="16">
        <f t="shared" si="48"/>
        <v>0.88454224720444896</v>
      </c>
      <c r="AD198" s="8"/>
    </row>
    <row r="199" spans="1:30" x14ac:dyDescent="0.35">
      <c r="A199" t="s">
        <v>713</v>
      </c>
      <c r="B199" s="1">
        <v>45643</v>
      </c>
      <c r="C199" s="21">
        <f t="shared" si="42"/>
        <v>12</v>
      </c>
      <c r="D199" s="19">
        <f t="shared" si="39"/>
        <v>45627</v>
      </c>
      <c r="E199" s="21">
        <f t="shared" si="43"/>
        <v>2024</v>
      </c>
      <c r="F199" s="3">
        <f t="shared" si="40"/>
        <v>45627</v>
      </c>
      <c r="G199" t="s">
        <v>449</v>
      </c>
      <c r="H199" t="s">
        <v>715</v>
      </c>
      <c r="I199" t="s">
        <v>948</v>
      </c>
      <c r="J199" t="s">
        <v>949</v>
      </c>
      <c r="K199" t="s">
        <v>40</v>
      </c>
      <c r="L199" t="s">
        <v>103</v>
      </c>
      <c r="M199" t="s">
        <v>54</v>
      </c>
      <c r="N199" t="s">
        <v>55</v>
      </c>
      <c r="O199" s="5">
        <v>10</v>
      </c>
      <c r="P199" s="16">
        <v>1376.56</v>
      </c>
      <c r="Q199" s="2">
        <v>0.05</v>
      </c>
      <c r="R199" s="16">
        <v>997.17</v>
      </c>
      <c r="S199" t="s">
        <v>35</v>
      </c>
      <c r="T199" t="s">
        <v>23</v>
      </c>
      <c r="U199" t="str">
        <f t="shared" si="44"/>
        <v>Sale</v>
      </c>
      <c r="V199" t="str">
        <f t="shared" si="45"/>
        <v>OK</v>
      </c>
      <c r="W199" s="16">
        <f t="shared" si="46"/>
        <v>13077.319999999998</v>
      </c>
      <c r="X199" s="16">
        <f t="shared" si="47"/>
        <v>9971.6999999999989</v>
      </c>
      <c r="Y199" s="16">
        <f t="shared" si="41"/>
        <v>3105.619999999999</v>
      </c>
      <c r="Z199" s="16">
        <f t="shared" si="48"/>
        <v>0.23748137997693713</v>
      </c>
      <c r="AD199" s="8"/>
    </row>
    <row r="200" spans="1:30" x14ac:dyDescent="0.35">
      <c r="A200" t="s">
        <v>716</v>
      </c>
      <c r="B200" s="1">
        <v>45317</v>
      </c>
      <c r="C200" s="21">
        <f t="shared" si="42"/>
        <v>1</v>
      </c>
      <c r="D200" s="19">
        <f t="shared" si="39"/>
        <v>45292</v>
      </c>
      <c r="E200" s="21">
        <f t="shared" si="43"/>
        <v>2024</v>
      </c>
      <c r="F200" s="3">
        <f t="shared" si="40"/>
        <v>45292</v>
      </c>
      <c r="G200" t="s">
        <v>717</v>
      </c>
      <c r="H200" t="s">
        <v>718</v>
      </c>
      <c r="I200" t="s">
        <v>1007</v>
      </c>
      <c r="J200" t="s">
        <v>1056</v>
      </c>
      <c r="K200" t="s">
        <v>40</v>
      </c>
      <c r="L200" t="s">
        <v>41</v>
      </c>
      <c r="M200" t="s">
        <v>19</v>
      </c>
      <c r="N200" t="s">
        <v>88</v>
      </c>
      <c r="O200" s="5">
        <v>10</v>
      </c>
      <c r="P200" s="16">
        <v>1088.02</v>
      </c>
      <c r="Q200" s="2">
        <v>0.1</v>
      </c>
      <c r="R200" s="16">
        <v>383.96</v>
      </c>
      <c r="S200" t="s">
        <v>35</v>
      </c>
      <c r="T200" t="s">
        <v>56</v>
      </c>
      <c r="U200" t="str">
        <f t="shared" si="44"/>
        <v>Sale</v>
      </c>
      <c r="V200" t="str">
        <f t="shared" si="45"/>
        <v>Check</v>
      </c>
      <c r="W200" s="16">
        <f t="shared" si="46"/>
        <v>9792.18</v>
      </c>
      <c r="X200" s="16">
        <f t="shared" si="47"/>
        <v>3839.6</v>
      </c>
      <c r="Y200" s="16">
        <f t="shared" si="41"/>
        <v>5952.58</v>
      </c>
      <c r="Z200" s="16">
        <f t="shared" si="48"/>
        <v>0.60789119481055287</v>
      </c>
      <c r="AD200" s="8"/>
    </row>
    <row r="201" spans="1:30" x14ac:dyDescent="0.35">
      <c r="A201" t="s">
        <v>719</v>
      </c>
      <c r="B201" s="1">
        <v>45606</v>
      </c>
      <c r="C201" s="21">
        <f t="shared" si="42"/>
        <v>11</v>
      </c>
      <c r="D201" s="19">
        <f t="shared" si="39"/>
        <v>45597</v>
      </c>
      <c r="E201" s="21">
        <f t="shared" si="43"/>
        <v>2024</v>
      </c>
      <c r="F201" s="3">
        <f t="shared" si="40"/>
        <v>45597</v>
      </c>
      <c r="G201" t="s">
        <v>589</v>
      </c>
      <c r="H201" t="s">
        <v>721</v>
      </c>
      <c r="I201" t="s">
        <v>1008</v>
      </c>
      <c r="J201" t="s">
        <v>1057</v>
      </c>
      <c r="K201" t="s">
        <v>83</v>
      </c>
      <c r="L201" t="s">
        <v>34</v>
      </c>
      <c r="M201" t="s">
        <v>19</v>
      </c>
      <c r="N201" t="s">
        <v>20</v>
      </c>
      <c r="O201" s="5">
        <v>5</v>
      </c>
      <c r="P201" s="16">
        <v>1324.75</v>
      </c>
      <c r="Q201" s="2">
        <v>0.1</v>
      </c>
      <c r="R201" s="16">
        <v>89.55</v>
      </c>
      <c r="S201" t="s">
        <v>49</v>
      </c>
      <c r="T201" t="s">
        <v>56</v>
      </c>
      <c r="U201" t="str">
        <f t="shared" si="44"/>
        <v>Sale</v>
      </c>
      <c r="V201" t="str">
        <f t="shared" si="45"/>
        <v>Check</v>
      </c>
      <c r="W201" s="16">
        <f t="shared" si="46"/>
        <v>5961.375</v>
      </c>
      <c r="X201" s="16">
        <f t="shared" si="47"/>
        <v>447.75</v>
      </c>
      <c r="Y201" s="16">
        <f t="shared" si="41"/>
        <v>5513.625</v>
      </c>
      <c r="Z201" s="16">
        <f t="shared" si="48"/>
        <v>0.92489148896018114</v>
      </c>
      <c r="AD201" s="8"/>
    </row>
  </sheetData>
  <autoFilter ref="A1:AT1" xr:uid="{38D205D0-CD0D-4840-86E7-E0F66ACA0A24}"/>
  <conditionalFormatting sqref="A1:A201 A212:A1048576">
    <cfRule type="duplicateValues" dxfId="0" priority="1"/>
  </conditionalFormatting>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C8668-3D61-4141-96D6-2DE5E7FCF772}">
  <dimension ref="A2:K187"/>
  <sheetViews>
    <sheetView topLeftCell="A78" workbookViewId="0">
      <selection activeCell="A110" sqref="A110"/>
    </sheetView>
  </sheetViews>
  <sheetFormatPr defaultColWidth="15.36328125" defaultRowHeight="14.5" x14ac:dyDescent="0.35"/>
  <cols>
    <col min="1" max="1" width="14.7265625" style="28" bestFit="1" customWidth="1"/>
    <col min="2" max="2" width="12.6328125" bestFit="1" customWidth="1"/>
    <col min="3" max="3" width="18.6328125" bestFit="1" customWidth="1"/>
    <col min="10" max="10" width="13.453125" bestFit="1" customWidth="1"/>
    <col min="11" max="11" width="14.81640625" bestFit="1" customWidth="1"/>
  </cols>
  <sheetData>
    <row r="2" spans="1:11" x14ac:dyDescent="0.35">
      <c r="A2" s="27" t="s">
        <v>4</v>
      </c>
      <c r="B2" s="25" t="s">
        <v>1078</v>
      </c>
      <c r="J2" s="22" t="s">
        <v>1090</v>
      </c>
      <c r="K2" t="s">
        <v>1077</v>
      </c>
    </row>
    <row r="3" spans="1:11" x14ac:dyDescent="0.35">
      <c r="A3" s="23" t="s">
        <v>40</v>
      </c>
      <c r="B3" s="25">
        <v>285456.77900000004</v>
      </c>
      <c r="J3" s="23" t="s">
        <v>1082</v>
      </c>
      <c r="K3" s="25">
        <v>774889.47149999999</v>
      </c>
    </row>
    <row r="4" spans="1:11" x14ac:dyDescent="0.35">
      <c r="A4" s="23" t="s">
        <v>17</v>
      </c>
      <c r="B4" s="25">
        <v>189700.19750000004</v>
      </c>
      <c r="J4" s="26" t="s">
        <v>1064</v>
      </c>
      <c r="K4" s="25">
        <v>80315.320500000002</v>
      </c>
    </row>
    <row r="5" spans="1:11" x14ac:dyDescent="0.35">
      <c r="A5" s="23" t="s">
        <v>47</v>
      </c>
      <c r="B5" s="25">
        <v>156672.38250000001</v>
      </c>
      <c r="J5" s="26" t="s">
        <v>1067</v>
      </c>
      <c r="K5" s="25">
        <v>36951.603999999999</v>
      </c>
    </row>
    <row r="6" spans="1:11" x14ac:dyDescent="0.35">
      <c r="A6" s="23" t="s">
        <v>18</v>
      </c>
      <c r="B6" s="25">
        <v>146026.58749999997</v>
      </c>
      <c r="J6" s="26" t="s">
        <v>1069</v>
      </c>
      <c r="K6" s="25">
        <v>67318.129000000015</v>
      </c>
    </row>
    <row r="7" spans="1:11" x14ac:dyDescent="0.35">
      <c r="A7" s="23" t="s">
        <v>83</v>
      </c>
      <c r="B7" s="25">
        <v>130214.8645</v>
      </c>
      <c r="J7" s="26" t="s">
        <v>1072</v>
      </c>
      <c r="K7" s="25">
        <v>96286.611999999994</v>
      </c>
    </row>
    <row r="8" spans="1:11" x14ac:dyDescent="0.35">
      <c r="A8" s="23" t="s">
        <v>768</v>
      </c>
      <c r="B8" s="25">
        <v>88751.634999999995</v>
      </c>
      <c r="J8" s="26" t="s">
        <v>1074</v>
      </c>
      <c r="K8" s="25">
        <v>50769.307000000001</v>
      </c>
    </row>
    <row r="9" spans="1:11" x14ac:dyDescent="0.35">
      <c r="A9" s="23" t="s">
        <v>1076</v>
      </c>
      <c r="B9" s="25">
        <v>996822.44600000011</v>
      </c>
      <c r="J9" s="26" t="s">
        <v>1071</v>
      </c>
      <c r="K9" s="25">
        <v>40241.530500000001</v>
      </c>
    </row>
    <row r="10" spans="1:11" x14ac:dyDescent="0.35">
      <c r="J10" s="26" t="s">
        <v>1065</v>
      </c>
      <c r="K10" s="25">
        <v>83256.084999999992</v>
      </c>
    </row>
    <row r="11" spans="1:11" x14ac:dyDescent="0.35">
      <c r="J11" s="26" t="s">
        <v>1068</v>
      </c>
      <c r="K11" s="25">
        <v>37208.283000000003</v>
      </c>
    </row>
    <row r="12" spans="1:11" x14ac:dyDescent="0.35">
      <c r="J12" s="26" t="s">
        <v>1070</v>
      </c>
      <c r="K12" s="25">
        <v>86364.70749999999</v>
      </c>
    </row>
    <row r="13" spans="1:11" x14ac:dyDescent="0.35">
      <c r="J13" s="26" t="s">
        <v>1073</v>
      </c>
      <c r="K13" s="25">
        <v>45442.874500000005</v>
      </c>
    </row>
    <row r="14" spans="1:11" x14ac:dyDescent="0.35">
      <c r="J14" s="26" t="s">
        <v>1084</v>
      </c>
      <c r="K14" s="25">
        <v>91304.128999999986</v>
      </c>
    </row>
    <row r="15" spans="1:11" x14ac:dyDescent="0.35">
      <c r="J15" s="26" t="s">
        <v>1066</v>
      </c>
      <c r="K15" s="25">
        <v>59430.889500000005</v>
      </c>
    </row>
    <row r="16" spans="1:11" x14ac:dyDescent="0.35">
      <c r="A16" s="27" t="s">
        <v>1081</v>
      </c>
      <c r="B16" t="s">
        <v>1080</v>
      </c>
      <c r="J16" s="23" t="s">
        <v>1083</v>
      </c>
      <c r="K16" s="25">
        <v>221932.97449999998</v>
      </c>
    </row>
    <row r="17" spans="1:11" x14ac:dyDescent="0.35">
      <c r="A17" s="23" t="s">
        <v>19</v>
      </c>
      <c r="B17" s="25">
        <v>121735.60550000005</v>
      </c>
      <c r="J17" s="26" t="s">
        <v>1064</v>
      </c>
      <c r="K17" s="25">
        <v>34349.402999999998</v>
      </c>
    </row>
    <row r="18" spans="1:11" x14ac:dyDescent="0.35">
      <c r="A18" s="23" t="s">
        <v>28</v>
      </c>
      <c r="B18" s="25">
        <v>89762.447</v>
      </c>
      <c r="J18" s="26" t="s">
        <v>1067</v>
      </c>
      <c r="K18" s="25">
        <v>45994.587</v>
      </c>
    </row>
    <row r="19" spans="1:11" x14ac:dyDescent="0.35">
      <c r="A19" s="23" t="s">
        <v>54</v>
      </c>
      <c r="B19" s="25">
        <v>54681.473499999993</v>
      </c>
      <c r="J19" s="26" t="s">
        <v>1069</v>
      </c>
      <c r="K19" s="25">
        <v>61217.585500000001</v>
      </c>
    </row>
    <row r="20" spans="1:11" x14ac:dyDescent="0.35">
      <c r="A20" s="23" t="s">
        <v>1076</v>
      </c>
      <c r="B20" s="25">
        <v>266179.52600000007</v>
      </c>
      <c r="J20" s="26" t="s">
        <v>1072</v>
      </c>
      <c r="K20" s="25">
        <v>44381.442999999999</v>
      </c>
    </row>
    <row r="21" spans="1:11" x14ac:dyDescent="0.35">
      <c r="J21" s="26" t="s">
        <v>1074</v>
      </c>
      <c r="K21" s="25">
        <v>1763.8794999999993</v>
      </c>
    </row>
    <row r="22" spans="1:11" x14ac:dyDescent="0.35">
      <c r="J22" s="26" t="s">
        <v>1071</v>
      </c>
      <c r="K22" s="25">
        <v>12966.172500000001</v>
      </c>
    </row>
    <row r="23" spans="1:11" x14ac:dyDescent="0.35">
      <c r="J23" s="26" t="s">
        <v>1073</v>
      </c>
      <c r="K23" s="25">
        <v>1946.6370000000004</v>
      </c>
    </row>
    <row r="24" spans="1:11" x14ac:dyDescent="0.35">
      <c r="J24" s="26" t="s">
        <v>1084</v>
      </c>
      <c r="K24" s="25">
        <v>7998.2160000000003</v>
      </c>
    </row>
    <row r="25" spans="1:11" x14ac:dyDescent="0.35">
      <c r="J25" s="26" t="s">
        <v>1066</v>
      </c>
      <c r="K25" s="25">
        <v>11315.050999999999</v>
      </c>
    </row>
    <row r="26" spans="1:11" x14ac:dyDescent="0.35">
      <c r="J26" s="23" t="s">
        <v>1076</v>
      </c>
      <c r="K26" s="25">
        <v>996822.446</v>
      </c>
    </row>
    <row r="31" spans="1:11" x14ac:dyDescent="0.35">
      <c r="A31" s="27" t="s">
        <v>1085</v>
      </c>
      <c r="B31" t="s">
        <v>1078</v>
      </c>
    </row>
    <row r="32" spans="1:11" x14ac:dyDescent="0.35">
      <c r="A32" s="23" t="s">
        <v>306</v>
      </c>
      <c r="B32" s="25">
        <v>33935.123</v>
      </c>
    </row>
    <row r="33" spans="1:11" x14ac:dyDescent="0.35">
      <c r="A33" s="23" t="s">
        <v>77</v>
      </c>
      <c r="B33" s="25">
        <v>32243.322999999997</v>
      </c>
    </row>
    <row r="34" spans="1:11" x14ac:dyDescent="0.35">
      <c r="A34" s="23" t="s">
        <v>97</v>
      </c>
      <c r="B34" s="25">
        <v>31267.897499999992</v>
      </c>
      <c r="J34" s="22" t="s">
        <v>1086</v>
      </c>
      <c r="K34" t="s">
        <v>1089</v>
      </c>
    </row>
    <row r="35" spans="1:11" x14ac:dyDescent="0.35">
      <c r="A35" s="23" t="s">
        <v>263</v>
      </c>
      <c r="B35" s="25">
        <v>29612.402999999998</v>
      </c>
      <c r="J35" s="23" t="s">
        <v>23</v>
      </c>
      <c r="K35" s="21">
        <v>143</v>
      </c>
    </row>
    <row r="36" spans="1:11" x14ac:dyDescent="0.35">
      <c r="A36" s="23" t="s">
        <v>204</v>
      </c>
      <c r="B36" s="25">
        <v>28466.925500000001</v>
      </c>
      <c r="J36" s="23" t="s">
        <v>56</v>
      </c>
      <c r="K36" s="21">
        <v>57</v>
      </c>
    </row>
    <row r="37" spans="1:11" x14ac:dyDescent="0.35">
      <c r="A37" s="23" t="s">
        <v>45</v>
      </c>
      <c r="B37" s="25">
        <v>27705.4035</v>
      </c>
      <c r="J37" s="23" t="s">
        <v>1076</v>
      </c>
      <c r="K37" s="21">
        <v>200</v>
      </c>
    </row>
    <row r="38" spans="1:11" x14ac:dyDescent="0.35">
      <c r="A38" s="23" t="s">
        <v>298</v>
      </c>
      <c r="B38" s="25">
        <v>27252.428499999998</v>
      </c>
    </row>
    <row r="39" spans="1:11" x14ac:dyDescent="0.35">
      <c r="A39" s="23" t="s">
        <v>38</v>
      </c>
      <c r="B39" s="25">
        <v>26096.295000000002</v>
      </c>
    </row>
    <row r="40" spans="1:11" x14ac:dyDescent="0.35">
      <c r="A40" s="23" t="s">
        <v>449</v>
      </c>
      <c r="B40" s="25">
        <v>25571.305999999997</v>
      </c>
    </row>
    <row r="41" spans="1:11" x14ac:dyDescent="0.35">
      <c r="A41" s="23" t="s">
        <v>66</v>
      </c>
      <c r="B41" s="25">
        <v>24788.699999999997</v>
      </c>
    </row>
    <row r="42" spans="1:11" x14ac:dyDescent="0.35">
      <c r="A42" s="23" t="s">
        <v>1076</v>
      </c>
      <c r="B42" s="25">
        <v>286939.80499999999</v>
      </c>
    </row>
    <row r="48" spans="1:11" x14ac:dyDescent="0.35">
      <c r="A48" s="27" t="s">
        <v>1087</v>
      </c>
      <c r="B48" t="s">
        <v>1088</v>
      </c>
    </row>
    <row r="49" spans="1:2" x14ac:dyDescent="0.35">
      <c r="A49" s="23" t="s">
        <v>22</v>
      </c>
      <c r="B49" s="21">
        <v>53</v>
      </c>
    </row>
    <row r="50" spans="1:2" x14ac:dyDescent="0.35">
      <c r="A50" s="23" t="s">
        <v>35</v>
      </c>
      <c r="B50" s="21">
        <v>51</v>
      </c>
    </row>
    <row r="51" spans="1:2" x14ac:dyDescent="0.35">
      <c r="A51" s="23" t="s">
        <v>1058</v>
      </c>
      <c r="B51" s="21">
        <v>48</v>
      </c>
    </row>
    <row r="52" spans="1:2" x14ac:dyDescent="0.35">
      <c r="A52" s="23" t="s">
        <v>49</v>
      </c>
      <c r="B52" s="21">
        <v>48</v>
      </c>
    </row>
    <row r="53" spans="1:2" x14ac:dyDescent="0.35">
      <c r="A53" s="23" t="s">
        <v>1076</v>
      </c>
      <c r="B53" s="21">
        <v>200</v>
      </c>
    </row>
    <row r="70" spans="1:4" x14ac:dyDescent="0.35">
      <c r="A70" t="s">
        <v>1077</v>
      </c>
      <c r="D70" s="29" t="str">
        <f xml:space="preserve"> "Total Revenue: " &amp; CHAR(10) &amp; TEXT(GETPIVOTDATA("revenue ",$A$70), "£ #,000.00")</f>
        <v>Total Revenue: 
£ 996,822.45</v>
      </c>
    </row>
    <row r="71" spans="1:4" x14ac:dyDescent="0.35">
      <c r="A71" s="24">
        <v>996822.44599999988</v>
      </c>
    </row>
    <row r="72" spans="1:4" x14ac:dyDescent="0.35">
      <c r="A72"/>
    </row>
    <row r="73" spans="1:4" x14ac:dyDescent="0.35">
      <c r="A73"/>
    </row>
    <row r="74" spans="1:4" x14ac:dyDescent="0.35">
      <c r="A74"/>
    </row>
    <row r="75" spans="1:4" x14ac:dyDescent="0.35">
      <c r="A75"/>
    </row>
    <row r="76" spans="1:4" x14ac:dyDescent="0.35">
      <c r="A76"/>
    </row>
    <row r="77" spans="1:4" x14ac:dyDescent="0.35">
      <c r="A77"/>
    </row>
    <row r="78" spans="1:4" ht="29" x14ac:dyDescent="0.35">
      <c r="A78" t="s">
        <v>1079</v>
      </c>
      <c r="D78" s="7" t="str">
        <f>"Total Profit: " &amp;  CHAR(10) &amp; TEXT(GETPIVOTDATA("profit",$A$78),"£ #00,000.00")</f>
        <v>Total Profit: 
£ 266,179.53</v>
      </c>
    </row>
    <row r="79" spans="1:4" x14ac:dyDescent="0.35">
      <c r="A79" s="21">
        <v>266179.52599999995</v>
      </c>
    </row>
    <row r="80" spans="1:4" x14ac:dyDescent="0.35">
      <c r="A80"/>
    </row>
    <row r="81" spans="1:6" x14ac:dyDescent="0.35">
      <c r="A81"/>
    </row>
    <row r="82" spans="1:6" x14ac:dyDescent="0.35">
      <c r="A82"/>
    </row>
    <row r="83" spans="1:6" x14ac:dyDescent="0.35">
      <c r="A83"/>
    </row>
    <row r="84" spans="1:6" x14ac:dyDescent="0.35">
      <c r="A84" t="s">
        <v>1079</v>
      </c>
      <c r="B84" t="s">
        <v>1077</v>
      </c>
      <c r="C84" t="s">
        <v>1091</v>
      </c>
      <c r="F84" t="str">
        <f>"Profit Margin: " &amp; CHAR(10) &amp; TEXT(GETPIVOTDATA("Sum of Profit Margin",$A$84), "#00.00 %")</f>
        <v>Profit Margin: 
26.70 %</v>
      </c>
    </row>
    <row r="85" spans="1:6" x14ac:dyDescent="0.35">
      <c r="A85" s="25">
        <v>266179.52599999995</v>
      </c>
      <c r="B85" s="25">
        <v>996822.44599999988</v>
      </c>
      <c r="C85" s="30">
        <v>0.26702802195928882</v>
      </c>
    </row>
    <row r="86" spans="1:6" x14ac:dyDescent="0.35">
      <c r="A86"/>
    </row>
    <row r="87" spans="1:6" x14ac:dyDescent="0.35">
      <c r="A87"/>
    </row>
    <row r="88" spans="1:6" x14ac:dyDescent="0.35">
      <c r="A88"/>
    </row>
    <row r="89" spans="1:6" x14ac:dyDescent="0.35">
      <c r="A89"/>
    </row>
    <row r="90" spans="1:6" x14ac:dyDescent="0.35">
      <c r="A90"/>
    </row>
    <row r="91" spans="1:6" x14ac:dyDescent="0.35">
      <c r="A91" t="s">
        <v>1092</v>
      </c>
      <c r="D91" t="str">
        <f>"Total Orders: " &amp; CHAR(10) &amp; GETPIVOTDATA("Order_ID",$A$91)</f>
        <v>Total Orders: 
200</v>
      </c>
    </row>
    <row r="92" spans="1:6" x14ac:dyDescent="0.35">
      <c r="A92" s="21">
        <v>200</v>
      </c>
    </row>
    <row r="93" spans="1:6" x14ac:dyDescent="0.35">
      <c r="A93"/>
    </row>
    <row r="98" spans="1:4" x14ac:dyDescent="0.35">
      <c r="A98"/>
    </row>
    <row r="99" spans="1:4" x14ac:dyDescent="0.35">
      <c r="A99" s="22" t="s">
        <v>2</v>
      </c>
      <c r="B99" t="s" vm="1">
        <v>1094</v>
      </c>
    </row>
    <row r="100" spans="1:4" x14ac:dyDescent="0.35">
      <c r="A100"/>
    </row>
    <row r="101" spans="1:4" ht="29" x14ac:dyDescent="0.35">
      <c r="A101" t="s">
        <v>1093</v>
      </c>
      <c r="D101" s="7" t="str">
        <f>"Total Customers: " &amp; CHAR(10) &amp; GETPIVOTDATA("[Measures].[Distinct Count of Customer_ID]",$A$101)</f>
        <v>Total Customers: 
87</v>
      </c>
    </row>
    <row r="102" spans="1:4" x14ac:dyDescent="0.35">
      <c r="A102" s="21">
        <v>87</v>
      </c>
    </row>
    <row r="103" spans="1:4" x14ac:dyDescent="0.35">
      <c r="A103"/>
    </row>
    <row r="104" spans="1:4" x14ac:dyDescent="0.35">
      <c r="A104"/>
    </row>
    <row r="105" spans="1:4" x14ac:dyDescent="0.35">
      <c r="A105"/>
    </row>
    <row r="106" spans="1:4" x14ac:dyDescent="0.35">
      <c r="A106"/>
    </row>
    <row r="107" spans="1:4" x14ac:dyDescent="0.35">
      <c r="A107"/>
    </row>
    <row r="109" spans="1:4" ht="29" x14ac:dyDescent="0.35">
      <c r="A109" t="s">
        <v>1095</v>
      </c>
      <c r="D109" s="7" t="str">
        <f>"Total Quantity: " &amp; CHAR(10) &amp; GETPIVOTDATA("Quantity",$A$109)</f>
        <v>Total Quantity: 
1448</v>
      </c>
    </row>
    <row r="110" spans="1:4" x14ac:dyDescent="0.35">
      <c r="A110" s="21">
        <v>1448</v>
      </c>
    </row>
    <row r="111" spans="1:4" x14ac:dyDescent="0.35">
      <c r="A111"/>
    </row>
    <row r="112" spans="1:4" x14ac:dyDescent="0.35">
      <c r="A112"/>
    </row>
    <row r="113" spans="1:1" x14ac:dyDescent="0.35">
      <c r="A113"/>
    </row>
    <row r="114" spans="1:1" x14ac:dyDescent="0.35">
      <c r="A114"/>
    </row>
    <row r="115" spans="1:1" x14ac:dyDescent="0.35">
      <c r="A115"/>
    </row>
    <row r="116" spans="1:1" x14ac:dyDescent="0.35">
      <c r="A116"/>
    </row>
    <row r="117" spans="1:1" x14ac:dyDescent="0.35">
      <c r="A117"/>
    </row>
    <row r="118" spans="1:1" x14ac:dyDescent="0.35">
      <c r="A118"/>
    </row>
    <row r="119" spans="1:1" x14ac:dyDescent="0.35">
      <c r="A119"/>
    </row>
    <row r="120" spans="1:1" x14ac:dyDescent="0.35">
      <c r="A120"/>
    </row>
    <row r="121" spans="1:1" x14ac:dyDescent="0.35">
      <c r="A121"/>
    </row>
    <row r="122" spans="1:1" x14ac:dyDescent="0.35">
      <c r="A122"/>
    </row>
    <row r="123" spans="1:1" x14ac:dyDescent="0.35">
      <c r="A123"/>
    </row>
    <row r="124" spans="1:1" x14ac:dyDescent="0.35">
      <c r="A124"/>
    </row>
    <row r="125" spans="1:1" x14ac:dyDescent="0.35">
      <c r="A125"/>
    </row>
    <row r="126" spans="1:1" x14ac:dyDescent="0.35">
      <c r="A126"/>
    </row>
    <row r="127" spans="1:1" x14ac:dyDescent="0.35">
      <c r="A127"/>
    </row>
    <row r="128" spans="1:1" x14ac:dyDescent="0.35">
      <c r="A128"/>
    </row>
    <row r="129" spans="1:1" x14ac:dyDescent="0.35">
      <c r="A129"/>
    </row>
    <row r="130" spans="1:1" x14ac:dyDescent="0.35">
      <c r="A130"/>
    </row>
    <row r="131" spans="1:1" x14ac:dyDescent="0.35">
      <c r="A131"/>
    </row>
    <row r="132" spans="1:1" x14ac:dyDescent="0.35">
      <c r="A132"/>
    </row>
    <row r="133" spans="1:1" x14ac:dyDescent="0.35">
      <c r="A133"/>
    </row>
    <row r="134" spans="1:1" x14ac:dyDescent="0.35">
      <c r="A134"/>
    </row>
    <row r="135" spans="1:1" x14ac:dyDescent="0.35">
      <c r="A135"/>
    </row>
    <row r="136" spans="1:1" x14ac:dyDescent="0.35">
      <c r="A136"/>
    </row>
    <row r="137" spans="1:1" x14ac:dyDescent="0.35">
      <c r="A137"/>
    </row>
    <row r="138" spans="1:1" x14ac:dyDescent="0.35">
      <c r="A138"/>
    </row>
    <row r="139" spans="1:1" x14ac:dyDescent="0.35">
      <c r="A139"/>
    </row>
    <row r="140" spans="1:1" x14ac:dyDescent="0.35">
      <c r="A140"/>
    </row>
    <row r="141" spans="1:1" x14ac:dyDescent="0.35">
      <c r="A141"/>
    </row>
    <row r="142" spans="1:1" x14ac:dyDescent="0.35">
      <c r="A142"/>
    </row>
    <row r="143" spans="1:1" x14ac:dyDescent="0.35">
      <c r="A143"/>
    </row>
    <row r="144" spans="1:1" x14ac:dyDescent="0.35">
      <c r="A144"/>
    </row>
    <row r="145" spans="1:1" x14ac:dyDescent="0.35">
      <c r="A145"/>
    </row>
    <row r="146" spans="1:1" x14ac:dyDescent="0.35">
      <c r="A146"/>
    </row>
    <row r="147" spans="1:1" x14ac:dyDescent="0.35">
      <c r="A147"/>
    </row>
    <row r="148" spans="1:1" x14ac:dyDescent="0.35">
      <c r="A148"/>
    </row>
    <row r="149" spans="1:1" x14ac:dyDescent="0.35">
      <c r="A149"/>
    </row>
    <row r="150" spans="1:1" x14ac:dyDescent="0.35">
      <c r="A150"/>
    </row>
    <row r="151" spans="1:1" x14ac:dyDescent="0.35">
      <c r="A151"/>
    </row>
    <row r="152" spans="1:1" x14ac:dyDescent="0.35">
      <c r="A152"/>
    </row>
    <row r="153" spans="1:1" x14ac:dyDescent="0.35">
      <c r="A153"/>
    </row>
    <row r="154" spans="1:1" x14ac:dyDescent="0.35">
      <c r="A154"/>
    </row>
    <row r="155" spans="1:1" x14ac:dyDescent="0.35">
      <c r="A155"/>
    </row>
    <row r="156" spans="1:1" x14ac:dyDescent="0.35">
      <c r="A156"/>
    </row>
    <row r="157" spans="1:1" x14ac:dyDescent="0.35">
      <c r="A157"/>
    </row>
    <row r="158" spans="1:1" x14ac:dyDescent="0.35">
      <c r="A158"/>
    </row>
    <row r="159" spans="1:1" x14ac:dyDescent="0.35">
      <c r="A159"/>
    </row>
    <row r="160" spans="1:1" x14ac:dyDescent="0.35">
      <c r="A160"/>
    </row>
    <row r="161" spans="1:1" x14ac:dyDescent="0.35">
      <c r="A161"/>
    </row>
    <row r="162" spans="1:1" x14ac:dyDescent="0.35">
      <c r="A162"/>
    </row>
    <row r="163" spans="1:1" x14ac:dyDescent="0.35">
      <c r="A163"/>
    </row>
    <row r="164" spans="1:1" x14ac:dyDescent="0.35">
      <c r="A164"/>
    </row>
    <row r="165" spans="1:1" x14ac:dyDescent="0.35">
      <c r="A165"/>
    </row>
    <row r="166" spans="1:1" x14ac:dyDescent="0.35">
      <c r="A166"/>
    </row>
    <row r="167" spans="1:1" x14ac:dyDescent="0.35">
      <c r="A167"/>
    </row>
    <row r="168" spans="1:1" x14ac:dyDescent="0.35">
      <c r="A168"/>
    </row>
    <row r="169" spans="1:1" x14ac:dyDescent="0.35">
      <c r="A169"/>
    </row>
    <row r="170" spans="1:1" x14ac:dyDescent="0.35">
      <c r="A170"/>
    </row>
    <row r="171" spans="1:1" x14ac:dyDescent="0.35">
      <c r="A171"/>
    </row>
    <row r="172" spans="1:1" x14ac:dyDescent="0.35">
      <c r="A172"/>
    </row>
    <row r="173" spans="1:1" x14ac:dyDescent="0.35">
      <c r="A173"/>
    </row>
    <row r="174" spans="1:1" x14ac:dyDescent="0.35">
      <c r="A174"/>
    </row>
    <row r="175" spans="1:1" x14ac:dyDescent="0.35">
      <c r="A175"/>
    </row>
    <row r="176" spans="1:1" x14ac:dyDescent="0.35">
      <c r="A176"/>
    </row>
    <row r="177" spans="1:1" x14ac:dyDescent="0.35">
      <c r="A177"/>
    </row>
    <row r="178" spans="1:1" x14ac:dyDescent="0.35">
      <c r="A178"/>
    </row>
    <row r="179" spans="1:1" x14ac:dyDescent="0.35">
      <c r="A179"/>
    </row>
    <row r="180" spans="1:1" x14ac:dyDescent="0.35">
      <c r="A180"/>
    </row>
    <row r="181" spans="1:1" x14ac:dyDescent="0.35">
      <c r="A181"/>
    </row>
    <row r="182" spans="1:1" x14ac:dyDescent="0.35">
      <c r="A182"/>
    </row>
    <row r="183" spans="1:1" x14ac:dyDescent="0.35">
      <c r="A183"/>
    </row>
    <row r="184" spans="1:1" x14ac:dyDescent="0.35">
      <c r="A184"/>
    </row>
    <row r="185" spans="1:1" x14ac:dyDescent="0.35">
      <c r="A185"/>
    </row>
    <row r="186" spans="1:1" x14ac:dyDescent="0.35">
      <c r="A186"/>
    </row>
    <row r="187" spans="1:1" x14ac:dyDescent="0.35">
      <c r="A187"/>
    </row>
  </sheetData>
  <pageMargins left="0.7" right="0.7" top="0.75" bottom="0.75" header="0.3" footer="0.3"/>
  <drawing r:id="rId1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FE9A4-E19A-4E63-B644-35252E6002B7}">
  <dimension ref="A1:P7"/>
  <sheetViews>
    <sheetView showGridLines="0" workbookViewId="0">
      <selection activeCell="J39" sqref="J39"/>
    </sheetView>
  </sheetViews>
  <sheetFormatPr defaultRowHeight="14.5" x14ac:dyDescent="0.35"/>
  <sheetData>
    <row r="1" spans="1:16" ht="14.5" customHeight="1" x14ac:dyDescent="0.35">
      <c r="A1" s="4"/>
      <c r="B1" s="4"/>
      <c r="C1" s="4"/>
      <c r="D1" s="4"/>
      <c r="E1" s="4"/>
      <c r="F1" s="4"/>
      <c r="G1" s="4"/>
      <c r="H1" s="4"/>
      <c r="I1" s="4"/>
      <c r="J1" s="4"/>
      <c r="K1" s="4"/>
      <c r="L1" s="4"/>
      <c r="M1" s="4"/>
      <c r="N1" s="4"/>
      <c r="O1" s="4"/>
      <c r="P1" s="4"/>
    </row>
    <row r="2" spans="1:16" x14ac:dyDescent="0.35">
      <c r="A2" s="4"/>
      <c r="B2" s="4"/>
      <c r="C2" s="4"/>
      <c r="D2" s="4"/>
      <c r="E2" s="4"/>
      <c r="F2" s="4"/>
      <c r="G2" s="4"/>
      <c r="H2" s="4"/>
      <c r="I2" s="4"/>
      <c r="J2" s="4"/>
      <c r="K2" s="4"/>
      <c r="L2" s="4"/>
      <c r="M2" s="4"/>
      <c r="N2" s="4"/>
      <c r="O2" s="4"/>
      <c r="P2" s="4"/>
    </row>
    <row r="3" spans="1:16" x14ac:dyDescent="0.35">
      <c r="A3" s="4"/>
      <c r="B3" s="4"/>
      <c r="C3" s="4"/>
      <c r="D3" s="4"/>
      <c r="E3" s="4"/>
      <c r="F3" s="4"/>
      <c r="G3" s="4"/>
      <c r="H3" s="4"/>
      <c r="I3" s="4"/>
      <c r="J3" s="4"/>
      <c r="K3" s="4"/>
      <c r="L3" s="4"/>
      <c r="M3" s="4"/>
      <c r="N3" s="4"/>
      <c r="O3" s="4"/>
      <c r="P3" s="4"/>
    </row>
    <row r="4" spans="1:16" x14ac:dyDescent="0.35">
      <c r="A4" s="4"/>
      <c r="B4" s="4"/>
      <c r="C4" s="4"/>
      <c r="D4" s="4"/>
      <c r="E4" s="4"/>
      <c r="F4" s="4"/>
      <c r="G4" s="4"/>
      <c r="H4" s="4"/>
      <c r="I4" s="4"/>
      <c r="J4" s="4"/>
      <c r="K4" s="4"/>
      <c r="L4" s="4"/>
      <c r="M4" s="4"/>
      <c r="N4" s="4"/>
      <c r="O4" s="4"/>
      <c r="P4" s="4"/>
    </row>
    <row r="5" spans="1:16" x14ac:dyDescent="0.35">
      <c r="A5" s="4"/>
      <c r="B5" s="4"/>
      <c r="C5" s="4"/>
      <c r="D5" s="4"/>
      <c r="E5" s="4"/>
      <c r="F5" s="4"/>
      <c r="G5" s="4"/>
      <c r="H5" s="4"/>
      <c r="I5" s="4"/>
      <c r="J5" s="4"/>
      <c r="K5" s="4"/>
      <c r="L5" s="4"/>
      <c r="M5" s="4"/>
      <c r="N5" s="4"/>
      <c r="O5" s="4"/>
      <c r="P5" s="4"/>
    </row>
    <row r="6" spans="1:16" x14ac:dyDescent="0.35">
      <c r="A6" s="4"/>
      <c r="B6" s="4"/>
      <c r="C6" s="4"/>
      <c r="D6" s="4"/>
      <c r="E6" s="4"/>
      <c r="F6" s="4"/>
      <c r="G6" s="4"/>
      <c r="H6" s="4"/>
      <c r="I6" s="4"/>
      <c r="J6" s="4"/>
      <c r="K6" s="4"/>
      <c r="L6" s="4"/>
      <c r="M6" s="4"/>
      <c r="N6" s="4"/>
      <c r="O6" s="4"/>
      <c r="P6" s="4"/>
    </row>
    <row r="7" spans="1:16" x14ac:dyDescent="0.35">
      <c r="A7" s="4"/>
      <c r="B7" s="4"/>
      <c r="C7" s="4"/>
      <c r="D7" s="4"/>
      <c r="E7" s="4"/>
      <c r="F7" s="4"/>
      <c r="G7" s="4"/>
      <c r="H7" s="4"/>
      <c r="I7" s="4"/>
      <c r="J7" s="4"/>
      <c r="K7" s="4"/>
      <c r="L7" s="4"/>
      <c r="M7" s="4"/>
      <c r="N7" s="4"/>
      <c r="O7" s="4"/>
      <c r="P7"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2D366DB-F671-4F17-961B-CEC76BE3D6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Raw_Sales_Data </vt:lpstr>
      <vt:lpstr>worksheet</vt:lpstr>
      <vt:lpstr>clean_sales</vt:lpstr>
      <vt:lpstr>Pivot(s)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Olanrewaju Oyenekan</cp:lastModifiedBy>
  <dcterms:created xsi:type="dcterms:W3CDTF">2026-05-11T09:09:34Z</dcterms:created>
  <dcterms:modified xsi:type="dcterms:W3CDTF">2026-06-01T12:55:48Z</dcterms:modified>
</cp:coreProperties>
</file>